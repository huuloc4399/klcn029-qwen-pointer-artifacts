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RUBRIC" sheetId="2" state="visible" r:id="rId2"/>
    <sheet xmlns:r="http://schemas.openxmlformats.org/officeDocument/2006/relationships" name="CAP_CV_JD" sheetId="3" state="visible" r:id="rId3"/>
    <sheet xmlns:r="http://schemas.openxmlformats.org/officeDocument/2006/relationships" name="JD" sheetId="4" state="visible" r:id="rId4"/>
    <sheet xmlns:r="http://schemas.openxmlformats.org/officeDocument/2006/relationships" name="YEU_CAU_JD" sheetId="5" state="visible" r:id="rId5"/>
    <sheet xmlns:r="http://schemas.openxmlformats.org/officeDocument/2006/relationships" name="TIEU_CHI" sheetId="6" state="visible" r:id="rId6"/>
    <sheet xmlns:r="http://schemas.openxmlformats.org/officeDocument/2006/relationships" name="TONG_THE" sheetId="7" state="visible" r:id="rId7"/>
    <sheet xmlns:r="http://schemas.openxmlformats.org/officeDocument/2006/relationships" name="TIEN_DO" sheetId="8" state="visible" r:id="rId8"/>
    <sheet xmlns:r="http://schemas.openxmlformats.org/officeDocument/2006/relationships" name="DANH_MUC" sheetId="9" state="hidden" r:id="rId9"/>
    <sheet xmlns:r="http://schemas.openxmlformats.org/officeDocument/2006/relationships" name="META" sheetId="10" state="hidden" r:id="rId10"/>
  </sheets>
  <definedNames>
    <definedName name="_xlnm._FilterDatabase" localSheetId="1" hidden="1">'RUBRIC'!$A$1:$I$9</definedName>
    <definedName name="_xlnm.Print_Titles" localSheetId="1">'RUBRIC'!$1:$1</definedName>
    <definedName name="_xlnm._FilterDatabase" localSheetId="2" hidden="1">'CAP_CV_JD'!$A$1:$I$4</definedName>
    <definedName name="_xlnm.Print_Titles" localSheetId="2">'CAP_CV_JD'!$1:$1</definedName>
    <definedName name="_xlnm._FilterDatabase" localSheetId="3" hidden="1">'JD'!$A$1:$G$3</definedName>
    <definedName name="_xlnm.Print_Titles" localSheetId="3">'JD'!$1:$1</definedName>
    <definedName name="_xlnm._FilterDatabase" localSheetId="4" hidden="1">'YEU_CAU_JD'!$A$1:$J$21</definedName>
    <definedName name="_xlnm.Print_Titles" localSheetId="4">'YEU_CAU_JD'!$1:$1</definedName>
    <definedName name="_xlnm._FilterDatabase" localSheetId="5" hidden="1">'TIEU_CHI'!$A$1:$N$25</definedName>
    <definedName name="_xlnm.Print_Titles" localSheetId="5">'TIEU_CHI'!$1:$1</definedName>
    <definedName name="_xlnm._FilterDatabase" localSheetId="6" hidden="1">'TONG_THE'!$A$1:$M$4</definedName>
    <definedName name="_xlnm.Print_Titles" localSheetId="6">'TONG_THE'!$1:$1</definedName>
    <definedName name="_xlnm._FilterDatabase" localSheetId="7" hidden="1">'TIEN_DO'!$A$1:$G$4</definedName>
    <definedName name="_xlnm.Print_Titles" localSheetId="7">'TIEN_DO'!$1:$1</definedName>
    <definedName name="_xlnm.Print_Titles" localSheetId="8">'DANH_MUC'!$1:$1</definedName>
    <definedName name="_xlnm._FilterDatabase" localSheetId="9" hidden="1">'META'!$A$1:$B$14</definedName>
    <definedName name="_xlnm.Print_Titles" localSheetId="9">'META'!$1:$1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7365D"/>
      <sz val="15"/>
    </font>
    <font>
      <name val="Arial"/>
      <sz val="10"/>
    </font>
    <font>
      <name val="Arial"/>
      <b val="1"/>
      <sz val="10"/>
    </font>
    <font>
      <name val="Arial"/>
      <b val="1"/>
      <color rgb="0017365D"/>
      <sz val="11.5"/>
    </font>
  </fonts>
  <fills count="6">
    <fill>
      <patternFill/>
    </fill>
    <fill>
      <patternFill patternType="gray125"/>
    </fill>
    <fill>
      <patternFill patternType="solid">
        <fgColor rgb="00FBE3B0"/>
      </patternFill>
    </fill>
    <fill>
      <patternFill patternType="solid">
        <fgColor rgb="00D9E2EC"/>
      </patternFill>
    </fill>
    <fill>
      <patternFill patternType="solid">
        <fgColor rgb="00F2F4F7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9D1DB"/>
      </left>
      <right style="thin">
        <color rgb="00C9D1DB"/>
      </right>
      <top style="thin">
        <color rgb="00C9D1DB"/>
      </top>
      <bottom style="thin">
        <color rgb="00C9D1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applyProtection="1" pivotButton="0" quotePrefix="0" xfId="0">
      <alignment vertical="top" wrapText="1"/>
      <protection locked="0" hidden="0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1D7A4C"/>
        <sz val="10"/>
      </font>
    </dxf>
    <dxf>
      <fill>
        <patternFill patternType="solid">
          <fgColor rgb="00FBE3B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34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Hướng dẫn chấm cặp CV–JD</t>
        </is>
      </c>
    </row>
    <row r="2">
      <c r="A2" s="2" t="inlineStr">
        <is>
          <t>Người chấm: DEMO   ·   Số cặp: 3   ·   Rubric: rubric_v2_draft1   ·   Mẫu: cv_jd_rating_workbook_v1</t>
        </is>
      </c>
    </row>
    <row r="3">
      <c r="A3" s="3" t="inlineStr">
        <is>
          <t>Chấm độc lập. Không trao đổi điểm với người chấm khác và không xem output của mô hình trước khi nộp file.</t>
        </is>
      </c>
    </row>
    <row r="4">
      <c r="A4" s="4" t="inlineStr">
        <is>
          <t>Quy trình cho mỗi cặp</t>
        </is>
      </c>
    </row>
    <row r="5">
      <c r="A5" s="2" t="inlineStr">
        <is>
          <t>1. Mở sheet CAP_CV_JD, lấy cặp theo thứ tự từ trên xuống. Mở PDF của CV và nội dung JD (sheet JD).</t>
        </is>
      </c>
    </row>
    <row r="6">
      <c r="A6" s="2" t="inlineStr">
        <is>
          <t>2. Sheet YEU_CAU_JD: với từng yêu cầu của JD, chọn trạng thái và chép nguyên văn đoạn CV làm bằng chứng.</t>
        </is>
      </c>
    </row>
    <row r="7">
      <c r="A7" s="2" t="inlineStr">
        <is>
          <t>3. Sheet TIEU_CHI: chấm 8 tiêu chí theo mô tả neo ở sheet RUBRIC. Chấm C8 (phù hợp JD) sau cùng, dựa vào bước 2.</t>
        </is>
      </c>
    </row>
    <row r="8">
      <c r="A8" s="2" t="inlineStr">
        <is>
          <t>4. Sheet TONG_THE: cho mức phù hợp 1–5, viết tối đa 3 gợi ý sửa CV quan trọng nhất, ghi số phút đã dùng.</t>
        </is>
      </c>
    </row>
    <row r="9">
      <c r="A9" s="2" t="inlineStr">
        <is>
          <t>5. Cột kiem_tra phải hiện OK ở mọi dòng. Sheet TIEN_DO cho biết cặp nào đã xong.</t>
        </is>
      </c>
    </row>
    <row r="10">
      <c r="A10" s="4" t="inlineStr">
        <is>
          <t>Quy tắc trích dẫn bằng chứng</t>
        </is>
      </c>
    </row>
    <row r="11">
      <c r="A11" s="2" t="inlineStr">
        <is>
          <t>• Chép nguyên văn từ PDF, tối đa khoảng 25 từ, không sửa chính tả. Chọn mục chứa đoạn đó ở cột muc_bang_chung.</t>
        </is>
      </c>
    </row>
    <row r="12">
      <c r="A12" s="2" t="inlineStr">
        <is>
          <t>• Điểm từ 1 trở lên ở TIEU_CHI, và trạng thái met hoặc mentioned_only ở YEU_CAU_JD, bắt buộc có trích dẫn.</t>
        </is>
      </c>
    </row>
    <row r="13">
      <c r="A13" s="2" t="inlineStr">
        <is>
          <t>• Với C1 và C7 (hình thức, ATS), chọn muc_bang_chung = toan_bo_cv và mô tả ngắn điều quan sát được ở cột trich_dan.</t>
        </is>
      </c>
    </row>
    <row r="14">
      <c r="A14" s="4" t="inlineStr">
        <is>
          <t>Trạng thái tiêu chí (cột trang_thai ở TIEU_CHI)</t>
        </is>
      </c>
    </row>
    <row r="15">
      <c r="A15" s="2" t="inlineStr">
        <is>
          <t>• scored: Đã chấm 0–4 theo mô tả neo.</t>
        </is>
      </c>
    </row>
    <row r="16">
      <c r="A16" s="2" t="inlineStr">
        <is>
          <t>• missing_in_cv: PDF đọc được nhưng CV không có nội dung cho tiêu chí này. Điểm bắt buộc là 0.</t>
        </is>
      </c>
    </row>
    <row r="17">
      <c r="A17" s="2" t="inlineStr">
        <is>
          <t>• not_applicable: Tiêu chí không áp dụng cho vị trí theo quy tắc đã chốt. Bỏ trống điểm và ghi lý do.</t>
        </is>
      </c>
    </row>
    <row r="18">
      <c r="A18" s="2" t="inlineStr">
        <is>
          <t>• unreadable: Không đọc chắc được phần nội dung liên quan trong PDF (mờ, vỡ font, mất trang). Bỏ trống điểm.</t>
        </is>
      </c>
    </row>
    <row r="19">
      <c r="A19" s="4" t="inlineStr">
        <is>
          <t>Trạng thái yêu cầu JD (cột trang_thai ở YEU_CAU_JD)</t>
        </is>
      </c>
    </row>
    <row r="20">
      <c r="A20" s="2" t="inlineStr">
        <is>
          <t>• met: CV có bằng chứng sử dụng trong dự án, kinh nghiệm hoặc chứng chỉ.</t>
        </is>
      </c>
    </row>
    <row r="21">
      <c r="A21" s="2" t="inlineStr">
        <is>
          <t>• mentioned_only: Chỉ xuất hiện trong danh sách kỹ năng hoặc mục tiêu, không có ngữ cảnh sử dụng.</t>
        </is>
      </c>
    </row>
    <row r="22">
      <c r="A22" s="2" t="inlineStr">
        <is>
          <t>• missing: Không thấy trong CV.</t>
        </is>
      </c>
    </row>
    <row r="23">
      <c r="A23" s="2" t="inlineStr">
        <is>
          <t>• unclear: Có dấu hiệu liên quan nhưng không đủ để quyết định; ghi lý do ở cột ghi chú.</t>
        </is>
      </c>
    </row>
    <row r="24">
      <c r="A24" s="4" t="inlineStr">
        <is>
          <t>Mức phù hợp tổng thể (cột muc_phu_hop ở TONG_THE)</t>
        </is>
      </c>
    </row>
    <row r="25">
      <c r="A25" s="2" t="inlineStr">
        <is>
          <t>• 1 · Không phù hợp: thiếu phần lớn yêu cầu cốt lõi.</t>
        </is>
      </c>
    </row>
    <row r="26">
      <c r="A26" s="2" t="inlineStr">
        <is>
          <t>• 2 · Ít phù hợp: chỉ đáp ứng vài yêu cầu, thiếu nền tảng chính.</t>
        </is>
      </c>
    </row>
    <row r="27">
      <c r="A27" s="2" t="inlineStr">
        <is>
          <t>• 3 · Phù hợp một phần: có nền tảng nhưng thiếu vài yêu cầu bắt buộc.</t>
        </is>
      </c>
    </row>
    <row r="28">
      <c r="A28" s="2" t="inlineStr">
        <is>
          <t>• 4 · Phù hợp: đáp ứng hầu hết yêu cầu bắt buộc có bằng chứng.</t>
        </is>
      </c>
    </row>
    <row r="29">
      <c r="A29" s="2" t="inlineStr">
        <is>
          <t>• 5 · Rất phù hợp: đáp ứng gần đủ yêu cầu bắt buộc và nhiều yêu cầu ưu tiên, minh chứng mạnh.</t>
        </is>
      </c>
    </row>
    <row r="30">
      <c r="A30" s="4" t="inlineStr">
        <is>
          <t>Lưu ý</t>
        </is>
      </c>
    </row>
    <row r="31">
      <c r="A31" s="2" t="inlineStr">
        <is>
          <t>• Không chấm theo tên, giới tính, ảnh, quê quán, trường học hay thông tin cá nhân. Thông tin liên hệ không dùng để cho điểm.</t>
        </is>
      </c>
    </row>
    <row r="32">
      <c r="A32" s="2" t="inlineStr">
        <is>
          <t>• Không thêm, xóa hay đổi thứ tự dòng; không đổi tên sheet hoặc tiêu đề cột. Chỉ nhập ở cột trắng; cột màu xám là cố định.</t>
        </is>
      </c>
    </row>
    <row r="33">
      <c r="A33" s="2" t="inlineStr">
        <is>
          <t>• File chứa trích dẫn từ CV thật: chỉ lưu trong thư mục nhóm đã thống nhất, không gửi qua kênh công khai, không đưa lên Git.</t>
        </is>
      </c>
    </row>
    <row r="34">
      <c r="A34" s="2" t="inlineStr">
        <is>
          <t>• Nếu mô tả neo không đủ để quyết định, ghi lại ở cột ghi_chu để thảo luận khi phân xử.</t>
        </is>
      </c>
    </row>
  </sheetData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9" customWidth="1" min="3" max="3"/>
    <col width="38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5" t="inlineStr">
        <is>
          <t>criterion_id</t>
        </is>
      </c>
      <c r="B1" s="5" t="inlineStr">
        <is>
          <t>tieu_chi</t>
        </is>
      </c>
      <c r="C1" s="5" t="inlineStr">
        <is>
          <t>trong_so</t>
        </is>
      </c>
      <c r="D1" s="5" t="inlineStr">
        <is>
          <t>cach_cham</t>
        </is>
      </c>
      <c r="E1" s="5" t="inlineStr">
        <is>
          <t>muc_0</t>
        </is>
      </c>
      <c r="F1" s="5" t="inlineStr">
        <is>
          <t>muc_1</t>
        </is>
      </c>
      <c r="G1" s="5" t="inlineStr">
        <is>
          <t>muc_2</t>
        </is>
      </c>
      <c r="H1" s="5" t="inlineStr">
        <is>
          <t>muc_3</t>
        </is>
      </c>
      <c r="I1" s="5" t="inlineStr">
        <is>
          <t>muc_4</t>
        </is>
      </c>
    </row>
    <row r="2">
      <c r="A2" s="6" t="inlineStr">
        <is>
          <t>C1_structure</t>
        </is>
      </c>
      <c r="B2" s="6" t="inlineStr">
        <is>
          <t>Cấu trúc và hình thức trình bày</t>
        </is>
      </c>
      <c r="C2" s="6" t="n">
        <v>10</v>
      </c>
      <c r="D2" s="6" t="inlineStr">
        <is>
          <t>Xem toàn bộ PDF. Chấm cách tổ chức và trình bày, không chấm nội dung chuyên môn.</t>
        </is>
      </c>
      <c r="E2" s="6" t="inlineStr">
        <is>
          <t>Không xác định được các mục; thông tin lộn xộn, không theo được mạch.</t>
        </is>
      </c>
      <c r="F2" s="6" t="inlineStr">
        <is>
          <t>Có vài mục nhưng thứ tự rối, thiếu tiêu đề hoặc nội dung các mục lẫn vào nhau; nhiều lỗi định dạng.</t>
        </is>
      </c>
      <c r="G2" s="6" t="inlineStr">
        <is>
          <t>Đủ các mục chính nhưng trình bày thiếu nhất quán (ngày tháng, gạch đầu dòng, phông chữ) hoặc quá dày, quá dài.</t>
        </is>
      </c>
      <c r="H2" s="6" t="inlineStr">
        <is>
          <t>Mục rõ, thứ tự hợp lý, định dạng nhất quán; chỉ còn lỗi nhỏ như vài lỗi chính tả hoặc khoảng trắng.</t>
        </is>
      </c>
      <c r="I2" s="6" t="inlineStr">
        <is>
          <t>Mục rõ, thông tin quan trọng với vị trí được đặt trước, nhất quán, gọn (1–2 trang), không lỗi chính tả.</t>
        </is>
      </c>
    </row>
    <row r="3">
      <c r="A3" s="6" t="inlineStr">
        <is>
          <t>C2_it_content</t>
        </is>
      </c>
      <c r="B3" s="6" t="inlineStr">
        <is>
          <t>Nội dung chuyên môn phù hợp lĩnh vực CNTT</t>
        </is>
      </c>
      <c r="C3" s="6" t="n">
        <v>10</v>
      </c>
      <c r="D3" s="6" t="inlineStr">
        <is>
          <t>Chấm độc lập với JD: CV có thể hiện chuyên môn CNTT rõ và nhất quán không.</t>
        </is>
      </c>
      <c r="E3" s="6" t="inlineStr">
        <is>
          <t>Nội dung không liên quan đến CNTT.</t>
        </is>
      </c>
      <c r="F3" s="6" t="inlineStr">
        <is>
          <t>Liên quan CNTT rất mờ nhạt; chủ yếu là thông tin chung chung.</t>
        </is>
      </c>
      <c r="G3" s="6" t="inlineStr">
        <is>
          <t>Có nội dung CNTT nhưng chung chung, không gắn với một hướng cụ thể (ví dụ Backend hoặc Frontend).</t>
        </is>
      </c>
      <c r="H3" s="6" t="inlineStr">
        <is>
          <t>Nội dung CNTT rõ, định hướng nghề nghiệp khớp một hướng cụ thể.</t>
        </is>
      </c>
      <c r="I3" s="6" t="inlineStr">
        <is>
          <t>Mục tiêu, kỹ năng, dự án và kinh nghiệm nhất quán với nhau; thể hiện chiều sâu kỹ thuật như thiết kế, kiểm thử, triển khai.</t>
        </is>
      </c>
    </row>
    <row r="4">
      <c r="A4" s="6" t="inlineStr">
        <is>
          <t>C3_skills</t>
        </is>
      </c>
      <c r="B4" s="6" t="inlineStr">
        <is>
          <t>Kỹ năng chuyên môn và kỹ năng bổ trợ</t>
        </is>
      </c>
      <c r="C4" s="6" t="n">
        <v>15</v>
      </c>
      <c r="D4" s="6" t="inlineStr">
        <is>
          <t>Kỹ năng có minh chứng là kỹ năng xuất hiện trong dự án, kinh nghiệm hoặc chứng chỉ, không chỉ trong danh sách kỹ năng.</t>
        </is>
      </c>
      <c r="E4" s="6" t="inlineStr">
        <is>
          <t>Không nêu kỹ năng.</t>
        </is>
      </c>
      <c r="F4" s="6" t="inlineStr">
        <is>
          <t>Chỉ liệt kê vài kỹ năng rời rạc, không có ngữ cảnh sử dụng ở bất kỳ đâu trong CV.</t>
        </is>
      </c>
      <c r="G4" s="6" t="inlineStr">
        <is>
          <t>Danh sách kỹ năng khá đủ nhưng phần lớn không có minh chứng sử dụng; hoặc không có kỹ năng bổ trợ nào.</t>
        </is>
      </c>
      <c r="H4" s="6" t="inlineStr">
        <is>
          <t>Phần lớn kỹ năng chính có minh chứng sử dụng; có kỹ năng bổ trợ (làm việc nhóm, giao tiếp, ngoại ngữ) nhưng chưa có ngữ cảnh.</t>
        </is>
      </c>
      <c r="I4" s="6" t="inlineStr">
        <is>
          <t>Kỹ năng chính được nhóm rõ và có minh chứng; kỹ năng bổ trợ có ngữ cảnh cụ thể (vai trò trong nhóm, chứng chỉ ngoại ngữ).</t>
        </is>
      </c>
    </row>
    <row r="5">
      <c r="A5" s="6" t="inlineStr">
        <is>
          <t>C4_projects</t>
        </is>
      </c>
      <c r="B5" s="6" t="inlineStr">
        <is>
          <t>Chất lượng mô tả dự án</t>
        </is>
      </c>
      <c r="C5" s="6" t="n">
        <v>15</v>
      </c>
      <c r="D5" s="6" t="inlineStr">
        <is>
          <t>Chấm theo 1–2 dự án liên quan nhất đến JD, không lấy trung bình mọi dự án.</t>
        </is>
      </c>
      <c r="E5" s="6" t="inlineStr">
        <is>
          <t>Không có dự án.</t>
        </is>
      </c>
      <c r="F5" s="6" t="inlineStr">
        <is>
          <t>Chỉ có tên dự án hoặc một dòng mô tả chung.</t>
        </is>
      </c>
      <c r="G5" s="6" t="inlineStr">
        <is>
          <t>Có vai trò hoặc công nghệ nhưng không nêu việc đã làm.</t>
        </is>
      </c>
      <c r="H5" s="6" t="inlineStr">
        <is>
          <t>Có vai trò, công nghệ và đầu việc cụ thể.</t>
        </is>
      </c>
      <c r="I5" s="6" t="inlineStr">
        <is>
          <t>Như mức 3, thêm kết quả đo được hoặc sản phẩm kiểm chứng được (link demo hoặc repo, số người dùng, số liệu).</t>
        </is>
      </c>
    </row>
    <row r="6">
      <c r="A6" s="6" t="inlineStr">
        <is>
          <t>C5_experience</t>
        </is>
      </c>
      <c r="B6" s="6" t="inlineStr">
        <is>
          <t>Kinh nghiệm làm việc hoặc thực tập</t>
        </is>
      </c>
      <c r="C6" s="6" t="n">
        <v>10</v>
      </c>
      <c r="D6" s="6" t="inlineStr">
        <is>
          <t>Với JD thực tập hoặc fresher: nếu không có kinh nghiệm nhưng có dự án đạt mức 3 trở lên ở C4, cho tối đa 2 điểm và ghi 'dự án thay thế' ở cột lý do.</t>
        </is>
      </c>
      <c r="E6" s="6" t="inlineStr">
        <is>
          <t>Không có kinh nghiệm làm việc hoặc thực tập, và không có dự án thay thế.</t>
        </is>
      </c>
      <c r="F6" s="6" t="inlineStr">
        <is>
          <t>Có kinh nghiệm nhưng không liên quan CNTT, hoặc chỉ có tên công ty và chức danh.</t>
        </is>
      </c>
      <c r="G6" s="6" t="inlineStr">
        <is>
          <t>Có kinh nghiệm hoặc thực tập CNTT nhưng chỉ nêu trách nhiệm chung chung; hoặc dự án thay thế theo quy tắc trên.</t>
        </is>
      </c>
      <c r="H6" s="6" t="inlineStr">
        <is>
          <t>Kinh nghiệm hoặc thực tập CNTT có đầu việc và công nghệ cụ thể.</t>
        </is>
      </c>
      <c r="I6" s="6" t="inlineStr">
        <is>
          <t>Như mức 3, thêm kết quả hoặc phạm vi rõ (quy mô, người dùng, cải thiện đo được).</t>
        </is>
      </c>
    </row>
    <row r="7">
      <c r="A7" s="6" t="inlineStr">
        <is>
          <t>C6_certs_activities</t>
        </is>
      </c>
      <c r="B7" s="6" t="inlineStr">
        <is>
          <t>Chứng chỉ, thành tích và hoạt động liên quan</t>
        </is>
      </c>
      <c r="C7" s="6" t="n">
        <v>5</v>
      </c>
      <c r="D7" s="6" t="inlineStr">
        <is>
          <t>Chỉ tính mức liên quan đến nghề; không cộng điểm cho xuất thân hay thông tin cá nhân.</t>
        </is>
      </c>
      <c r="E7" s="6" t="inlineStr">
        <is>
          <t>Không có chứng chỉ, giải thưởng hay hoạt động.</t>
        </is>
      </c>
      <c r="F7" s="6" t="inlineStr">
        <is>
          <t>Có nhưng không liên quan CNTT hoặc nghề nghiệp.</t>
        </is>
      </c>
      <c r="G7" s="6" t="inlineStr">
        <is>
          <t>Có ít nhất một mục liên quan nhưng chỉ nêu tên, không rõ đơn vị cấp hoặc năm.</t>
        </is>
      </c>
      <c r="H7" s="6" t="inlineStr">
        <is>
          <t>Có mục liên quan CNTT, rõ đơn vị và năm (ví dụ chứng chỉ ngoại ngữ, cloud, cuộc thi lập trình).</t>
        </is>
      </c>
      <c r="I7" s="6" t="inlineStr">
        <is>
          <t>Nhiều mục liên quan và kiểm chứng được: giải từ cấp trường trở lên, chứng chỉ chuyên môn được công nhận, vai trò nòng cốt trong CLB kỹ thuật.</t>
        </is>
      </c>
    </row>
    <row r="8">
      <c r="A8" s="6" t="inlineStr">
        <is>
          <t>C7_ats</t>
        </is>
      </c>
      <c r="B8" s="6" t="inlineStr">
        <is>
          <t>Khả năng đáp ứng ATS (máy đọc được)</t>
        </is>
      </c>
      <c r="C8" s="6" t="n">
        <v>10</v>
      </c>
      <c r="D8" s="6" t="inlineStr">
        <is>
          <t>Thử bôi đen và sao chép chữ trong PDF. Chấm khả năng máy đọc đúng nội dung, không chấm thẩm mỹ.</t>
        </is>
      </c>
      <c r="E8" s="6" t="inlineStr">
        <is>
          <t>PDF dạng ảnh hoặc không chọn được chữ; máy gần như không đọc được.</t>
        </is>
      </c>
      <c r="F8" s="6" t="inlineStr">
        <is>
          <t>Chọn được chữ nhưng nhiều cột, bảng hoặc hộp chữ làm sai thứ tự đọc; thông tin quan trọng nằm trong hình hoặc biểu tượng.</t>
        </is>
      </c>
      <c r="G8" s="6" t="inlineStr">
        <is>
          <t>Đọc được phần lớn; còn một vấn đề như hai cột, thanh đo kỹ năng bằng đồ họa, tiêu đề mục lạ hoặc ngày tháng không nhất quán.</t>
        </is>
      </c>
      <c r="H8" s="6" t="inlineStr">
        <is>
          <t>Một cột, hoặc hai cột đơn giản vẫn đọc đúng thứ tự; tiêu đề mục phổ biến; chỉ còn lỗi nhỏ.</t>
        </is>
      </c>
      <c r="I8" s="6" t="inlineStr">
        <is>
          <t>Một cột, chọn được chữ, tiêu đề mục chuẩn, không dùng đồ họa thay chữ, ngày tháng nhất quán.</t>
        </is>
      </c>
    </row>
    <row r="9">
      <c r="A9" s="6" t="inlineStr">
        <is>
          <t>C8_jd_fit</t>
        </is>
      </c>
      <c r="B9" s="6" t="inlineStr">
        <is>
          <t>Mức phù hợp với Job Description</t>
        </is>
      </c>
      <c r="C9" s="6" t="n">
        <v>25</v>
      </c>
      <c r="D9" s="6" t="inlineStr">
        <is>
          <t>Điền sheet YEU_CAU_JD trước, rồi chấm mục này. Tỷ lệ tính trên yêu cầu bắt buộc; 'mentioned_only' tính nửa.</t>
        </is>
      </c>
      <c r="E9" s="6" t="inlineStr">
        <is>
          <t>Dưới 20% yêu cầu bắt buộc có bằng chứng.</t>
        </is>
      </c>
      <c r="F9" s="6" t="inlineStr">
        <is>
          <t>Khoảng 20–40% yêu cầu bắt buộc có bằng chứng.</t>
        </is>
      </c>
      <c r="G9" s="6" t="inlineStr">
        <is>
          <t>Khoảng 40–60% yêu cầu bắt buộc có bằng chứng.</t>
        </is>
      </c>
      <c r="H9" s="6" t="inlineStr">
        <is>
          <t>Khoảng 60–80% yêu cầu bắt buộc có bằng chứng.</t>
        </is>
      </c>
      <c r="I9" s="6" t="inlineStr">
        <is>
          <t>Từ 80% yêu cầu bắt buộc trở lên có bằng chứng, và đáp ứng thêm một số yêu cầu ưu tiên.</t>
        </is>
      </c>
    </row>
  </sheetData>
  <autoFilter ref="A1:I9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3" customWidth="1" min="4" max="4"/>
    <col width="36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5" t="inlineStr">
        <is>
          <t>thu_tu</t>
        </is>
      </c>
      <c r="B1" s="5" t="inlineStr">
        <is>
          <t>pair_id</t>
        </is>
      </c>
      <c r="C1" s="5" t="inlineStr">
        <is>
          <t>cv_id</t>
        </is>
      </c>
      <c r="D1" s="5" t="inlineStr">
        <is>
          <t>jd_id</t>
        </is>
      </c>
      <c r="E1" s="5" t="inlineStr">
        <is>
          <t>vi_tri</t>
        </is>
      </c>
      <c r="F1" s="5" t="inlineStr">
        <is>
          <t>cap_do</t>
        </is>
      </c>
      <c r="G1" s="5" t="inlineStr">
        <is>
          <t>so_yeu_cau_bat_buoc</t>
        </is>
      </c>
      <c r="H1" s="5" t="inlineStr">
        <is>
          <t>so_yeu_cau_uu_tien</t>
        </is>
      </c>
      <c r="I1" s="5" t="inlineStr">
        <is>
          <t>tep_cv</t>
        </is>
      </c>
    </row>
    <row r="2">
      <c r="A2" s="6" t="n">
        <v>1</v>
      </c>
      <c r="B2" s="6" t="inlineStr">
        <is>
          <t>DEMO-P01</t>
        </is>
      </c>
      <c r="C2" s="6" t="inlineStr">
        <is>
          <t>CV_DEMO_01</t>
        </is>
      </c>
      <c r="D2" s="6" t="inlineStr">
        <is>
          <t>JD_DEMO_BE</t>
        </is>
      </c>
      <c r="E2" s="6" t="inlineStr">
        <is>
          <t>Backend Developer Intern (ví dụ minh họa)</t>
        </is>
      </c>
      <c r="F2" s="6" t="inlineStr">
        <is>
          <t>intern</t>
        </is>
      </c>
      <c r="G2" s="6" t="n">
        <v>5</v>
      </c>
      <c r="H2" s="6" t="n">
        <v>3</v>
      </c>
      <c r="I2" s="6" t="inlineStr"/>
    </row>
    <row r="3">
      <c r="A3" s="6" t="n">
        <v>2</v>
      </c>
      <c r="B3" s="6" t="inlineStr">
        <is>
          <t>DEMO-P03</t>
        </is>
      </c>
      <c r="C3" s="6" t="inlineStr">
        <is>
          <t>CV_DEMO_02</t>
        </is>
      </c>
      <c r="D3" s="6" t="inlineStr">
        <is>
          <t>JD_DEMO_FE</t>
        </is>
      </c>
      <c r="E3" s="6" t="inlineStr">
        <is>
          <t>Frontend Developer Fresher (ví dụ minh họa)</t>
        </is>
      </c>
      <c r="F3" s="6" t="inlineStr">
        <is>
          <t>fresher</t>
        </is>
      </c>
      <c r="G3" s="6" t="n">
        <v>4</v>
      </c>
      <c r="H3" s="6" t="n">
        <v>2</v>
      </c>
      <c r="I3" s="6" t="inlineStr"/>
    </row>
    <row r="4">
      <c r="A4" s="6" t="n">
        <v>3</v>
      </c>
      <c r="B4" s="6" t="inlineStr">
        <is>
          <t>DEMO-P02</t>
        </is>
      </c>
      <c r="C4" s="6" t="inlineStr">
        <is>
          <t>CV_DEMO_01</t>
        </is>
      </c>
      <c r="D4" s="6" t="inlineStr">
        <is>
          <t>JD_DEMO_FE</t>
        </is>
      </c>
      <c r="E4" s="6" t="inlineStr">
        <is>
          <t>Frontend Developer Fresher (ví dụ minh họa)</t>
        </is>
      </c>
      <c r="F4" s="6" t="inlineStr">
        <is>
          <t>fresher</t>
        </is>
      </c>
      <c r="G4" s="6" t="n">
        <v>4</v>
      </c>
      <c r="H4" s="6" t="n">
        <v>2</v>
      </c>
      <c r="I4" s="6" t="inlineStr"/>
    </row>
  </sheetData>
  <autoFilter ref="A1:I4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30" customWidth="1" min="4" max="4"/>
    <col width="26" customWidth="1" min="5" max="5"/>
    <col width="36" customWidth="1" min="6" max="6"/>
    <col width="70" customWidth="1" min="7" max="7"/>
  </cols>
  <sheetData>
    <row r="1">
      <c r="A1" s="5" t="inlineStr">
        <is>
          <t>jd_id</t>
        </is>
      </c>
      <c r="B1" s="5" t="inlineStr">
        <is>
          <t>vi_tri</t>
        </is>
      </c>
      <c r="C1" s="5" t="inlineStr">
        <is>
          <t>cap_do</t>
        </is>
      </c>
      <c r="D1" s="5" t="inlineStr">
        <is>
          <t>bat_buoc</t>
        </is>
      </c>
      <c r="E1" s="5" t="inlineStr">
        <is>
          <t>uu_tien</t>
        </is>
      </c>
      <c r="F1" s="5" t="inlineStr">
        <is>
          <t>trach_nhiem</t>
        </is>
      </c>
      <c r="G1" s="5" t="inlineStr">
        <is>
          <t>noi_dung_day_du</t>
        </is>
      </c>
    </row>
    <row r="2">
      <c r="A2" s="6" t="inlineStr">
        <is>
          <t>JD_DEMO_BE</t>
        </is>
      </c>
      <c r="B2" s="6" t="inlineStr">
        <is>
          <t>Backend Developer Intern (ví dụ minh họa)</t>
        </is>
      </c>
      <c r="C2" s="6" t="inlineStr">
        <is>
          <t>intern</t>
        </is>
      </c>
      <c r="D2" s="6" t="inlineStr">
        <is>
          <t>Java
Spring Boot
SQL
REST API
Git</t>
        </is>
      </c>
      <c r="E2" s="6" t="inlineStr">
        <is>
          <t>Docker
Redis
Unit testing</t>
        </is>
      </c>
      <c r="F2" s="6" t="inlineStr">
        <is>
          <t>Xây dựng và kiểm thử REST API
Thiết kế bảng dữ liệu và viết truy vấn SQL
Tham gia review code cùng nhóm</t>
        </is>
      </c>
      <c r="G2" s="6" t="inlineStr">
        <is>
          <t>(chưa có tệp nội dung JD; xem các cột yêu cầu)</t>
        </is>
      </c>
    </row>
    <row r="3">
      <c r="A3" s="6" t="inlineStr">
        <is>
          <t>JD_DEMO_FE</t>
        </is>
      </c>
      <c r="B3" s="6" t="inlineStr">
        <is>
          <t>Frontend Developer Fresher (ví dụ minh họa)</t>
        </is>
      </c>
      <c r="C3" s="6" t="inlineStr">
        <is>
          <t>fresher</t>
        </is>
      </c>
      <c r="D3" s="6" t="inlineStr">
        <is>
          <t>JavaScript
React
HTML/CSS
Responsive design</t>
        </is>
      </c>
      <c r="E3" s="6" t="inlineStr">
        <is>
          <t>TypeScript
Figma</t>
        </is>
      </c>
      <c r="F3" s="6" t="inlineStr">
        <is>
          <t>Xây dựng giao diện web bằng React
Phối hợp với Backend để tích hợp API</t>
        </is>
      </c>
      <c r="G3" s="6" t="inlineStr">
        <is>
          <t>(chưa có tệp nội dung JD; xem các cột yêu cầu)</t>
        </is>
      </c>
    </row>
  </sheetData>
  <autoFilter ref="A1:G3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8" customWidth="1" min="4" max="4"/>
    <col width="30" customWidth="1" min="5" max="5"/>
    <col width="16" customWidth="1" min="6" max="6"/>
    <col width="16" customWidth="1" min="7" max="7"/>
    <col width="46" customWidth="1" min="8" max="8"/>
    <col width="30" customWidth="1" min="9" max="9"/>
    <col width="20" customWidth="1" min="10" max="10"/>
  </cols>
  <sheetData>
    <row r="1">
      <c r="A1" s="5" t="inlineStr">
        <is>
          <t>pair_id</t>
        </is>
      </c>
      <c r="B1" s="5" t="inlineStr">
        <is>
          <t>jd_id</t>
        </is>
      </c>
      <c r="C1" s="5" t="inlineStr">
        <is>
          <t>req_id</t>
        </is>
      </c>
      <c r="D1" s="5" t="inlineStr">
        <is>
          <t>loai</t>
        </is>
      </c>
      <c r="E1" s="5" t="inlineStr">
        <is>
          <t>yeu_cau</t>
        </is>
      </c>
      <c r="F1" s="5" t="inlineStr">
        <is>
          <t>trang_thai</t>
        </is>
      </c>
      <c r="G1" s="5" t="inlineStr">
        <is>
          <t>muc_bang_chung</t>
        </is>
      </c>
      <c r="H1" s="5" t="inlineStr">
        <is>
          <t>trich_dan</t>
        </is>
      </c>
      <c r="I1" s="5" t="inlineStr">
        <is>
          <t>ghi_chu</t>
        </is>
      </c>
      <c r="J1" s="5" t="inlineStr">
        <is>
          <t>kiem_tra</t>
        </is>
      </c>
    </row>
    <row r="2">
      <c r="A2" s="7" t="inlineStr">
        <is>
          <t>DEMO-P01</t>
        </is>
      </c>
      <c r="B2" s="7" t="inlineStr">
        <is>
          <t>JD_DEMO_BE</t>
        </is>
      </c>
      <c r="C2" s="7" t="inlineStr">
        <is>
          <t>JD_DEMO_BE-M01</t>
        </is>
      </c>
      <c r="D2" s="7" t="inlineStr">
        <is>
          <t>must</t>
        </is>
      </c>
      <c r="E2" s="7" t="inlineStr">
        <is>
          <t>Java</t>
        </is>
      </c>
      <c r="F2" s="8" t="n"/>
      <c r="G2" s="8" t="n"/>
      <c r="H2" s="8" t="n"/>
      <c r="I2" s="8" t="n"/>
      <c r="J2" s="9">
        <f>IF(F2="","Chưa chấm",IF(OR(F2="met",F2="mentioned_only"),IF(H2="","Thiếu trích dẫn","OK"),IF(AND(F2="unclear",I2=""),"Ghi lý do","OK")))</f>
        <v/>
      </c>
    </row>
    <row r="3">
      <c r="A3" s="7" t="inlineStr">
        <is>
          <t>DEMO-P01</t>
        </is>
      </c>
      <c r="B3" s="7" t="inlineStr">
        <is>
          <t>JD_DEMO_BE</t>
        </is>
      </c>
      <c r="C3" s="7" t="inlineStr">
        <is>
          <t>JD_DEMO_BE-M02</t>
        </is>
      </c>
      <c r="D3" s="7" t="inlineStr">
        <is>
          <t>must</t>
        </is>
      </c>
      <c r="E3" s="7" t="inlineStr">
        <is>
          <t>Spring Boot</t>
        </is>
      </c>
      <c r="F3" s="8" t="n"/>
      <c r="G3" s="8" t="n"/>
      <c r="H3" s="8" t="n"/>
      <c r="I3" s="8" t="n"/>
      <c r="J3" s="9">
        <f>IF(F3="","Chưa chấm",IF(OR(F3="met",F3="mentioned_only"),IF(H3="","Thiếu trích dẫn","OK"),IF(AND(F3="unclear",I3=""),"Ghi lý do","OK")))</f>
        <v/>
      </c>
    </row>
    <row r="4">
      <c r="A4" s="7" t="inlineStr">
        <is>
          <t>DEMO-P01</t>
        </is>
      </c>
      <c r="B4" s="7" t="inlineStr">
        <is>
          <t>JD_DEMO_BE</t>
        </is>
      </c>
      <c r="C4" s="7" t="inlineStr">
        <is>
          <t>JD_DEMO_BE-M03</t>
        </is>
      </c>
      <c r="D4" s="7" t="inlineStr">
        <is>
          <t>must</t>
        </is>
      </c>
      <c r="E4" s="7" t="inlineStr">
        <is>
          <t>SQL</t>
        </is>
      </c>
      <c r="F4" s="8" t="n"/>
      <c r="G4" s="8" t="n"/>
      <c r="H4" s="8" t="n"/>
      <c r="I4" s="8" t="n"/>
      <c r="J4" s="9">
        <f>IF(F4="","Chưa chấm",IF(OR(F4="met",F4="mentioned_only"),IF(H4="","Thiếu trích dẫn","OK"),IF(AND(F4="unclear",I4=""),"Ghi lý do","OK")))</f>
        <v/>
      </c>
    </row>
    <row r="5">
      <c r="A5" s="7" t="inlineStr">
        <is>
          <t>DEMO-P01</t>
        </is>
      </c>
      <c r="B5" s="7" t="inlineStr">
        <is>
          <t>JD_DEMO_BE</t>
        </is>
      </c>
      <c r="C5" s="7" t="inlineStr">
        <is>
          <t>JD_DEMO_BE-M04</t>
        </is>
      </c>
      <c r="D5" s="7" t="inlineStr">
        <is>
          <t>must</t>
        </is>
      </c>
      <c r="E5" s="7" t="inlineStr">
        <is>
          <t>REST API</t>
        </is>
      </c>
      <c r="F5" s="8" t="n"/>
      <c r="G5" s="8" t="n"/>
      <c r="H5" s="8" t="n"/>
      <c r="I5" s="8" t="n"/>
      <c r="J5" s="9">
        <f>IF(F5="","Chưa chấm",IF(OR(F5="met",F5="mentioned_only"),IF(H5="","Thiếu trích dẫn","OK"),IF(AND(F5="unclear",I5=""),"Ghi lý do","OK")))</f>
        <v/>
      </c>
    </row>
    <row r="6">
      <c r="A6" s="7" t="inlineStr">
        <is>
          <t>DEMO-P01</t>
        </is>
      </c>
      <c r="B6" s="7" t="inlineStr">
        <is>
          <t>JD_DEMO_BE</t>
        </is>
      </c>
      <c r="C6" s="7" t="inlineStr">
        <is>
          <t>JD_DEMO_BE-M05</t>
        </is>
      </c>
      <c r="D6" s="7" t="inlineStr">
        <is>
          <t>must</t>
        </is>
      </c>
      <c r="E6" s="7" t="inlineStr">
        <is>
          <t>Git</t>
        </is>
      </c>
      <c r="F6" s="8" t="n"/>
      <c r="G6" s="8" t="n"/>
      <c r="H6" s="8" t="n"/>
      <c r="I6" s="8" t="n"/>
      <c r="J6" s="9">
        <f>IF(F6="","Chưa chấm",IF(OR(F6="met",F6="mentioned_only"),IF(H6="","Thiếu trích dẫn","OK"),IF(AND(F6="unclear",I6=""),"Ghi lý do","OK")))</f>
        <v/>
      </c>
    </row>
    <row r="7">
      <c r="A7" s="7" t="inlineStr">
        <is>
          <t>DEMO-P01</t>
        </is>
      </c>
      <c r="B7" s="7" t="inlineStr">
        <is>
          <t>JD_DEMO_BE</t>
        </is>
      </c>
      <c r="C7" s="7" t="inlineStr">
        <is>
          <t>JD_DEMO_BE-N01</t>
        </is>
      </c>
      <c r="D7" s="7" t="inlineStr">
        <is>
          <t>nice</t>
        </is>
      </c>
      <c r="E7" s="7" t="inlineStr">
        <is>
          <t>Docker</t>
        </is>
      </c>
      <c r="F7" s="8" t="n"/>
      <c r="G7" s="8" t="n"/>
      <c r="H7" s="8" t="n"/>
      <c r="I7" s="8" t="n"/>
      <c r="J7" s="9">
        <f>IF(F7="","Chưa chấm",IF(OR(F7="met",F7="mentioned_only"),IF(H7="","Thiếu trích dẫn","OK"),IF(AND(F7="unclear",I7=""),"Ghi lý do","OK")))</f>
        <v/>
      </c>
    </row>
    <row r="8">
      <c r="A8" s="7" t="inlineStr">
        <is>
          <t>DEMO-P01</t>
        </is>
      </c>
      <c r="B8" s="7" t="inlineStr">
        <is>
          <t>JD_DEMO_BE</t>
        </is>
      </c>
      <c r="C8" s="7" t="inlineStr">
        <is>
          <t>JD_DEMO_BE-N02</t>
        </is>
      </c>
      <c r="D8" s="7" t="inlineStr">
        <is>
          <t>nice</t>
        </is>
      </c>
      <c r="E8" s="7" t="inlineStr">
        <is>
          <t>Redis</t>
        </is>
      </c>
      <c r="F8" s="8" t="n"/>
      <c r="G8" s="8" t="n"/>
      <c r="H8" s="8" t="n"/>
      <c r="I8" s="8" t="n"/>
      <c r="J8" s="9">
        <f>IF(F8="","Chưa chấm",IF(OR(F8="met",F8="mentioned_only"),IF(H8="","Thiếu trích dẫn","OK"),IF(AND(F8="unclear",I8=""),"Ghi lý do","OK")))</f>
        <v/>
      </c>
    </row>
    <row r="9">
      <c r="A9" s="7" t="inlineStr">
        <is>
          <t>DEMO-P01</t>
        </is>
      </c>
      <c r="B9" s="7" t="inlineStr">
        <is>
          <t>JD_DEMO_BE</t>
        </is>
      </c>
      <c r="C9" s="7" t="inlineStr">
        <is>
          <t>JD_DEMO_BE-N03</t>
        </is>
      </c>
      <c r="D9" s="7" t="inlineStr">
        <is>
          <t>nice</t>
        </is>
      </c>
      <c r="E9" s="7" t="inlineStr">
        <is>
          <t>Unit testing</t>
        </is>
      </c>
      <c r="F9" s="8" t="n"/>
      <c r="G9" s="8" t="n"/>
      <c r="H9" s="8" t="n"/>
      <c r="I9" s="8" t="n"/>
      <c r="J9" s="9">
        <f>IF(F9="","Chưa chấm",IF(OR(F9="met",F9="mentioned_only"),IF(H9="","Thiếu trích dẫn","OK"),IF(AND(F9="unclear",I9=""),"Ghi lý do","OK")))</f>
        <v/>
      </c>
    </row>
    <row r="10">
      <c r="A10" s="6" t="inlineStr">
        <is>
          <t>DEMO-P03</t>
        </is>
      </c>
      <c r="B10" s="6" t="inlineStr">
        <is>
          <t>JD_DEMO_FE</t>
        </is>
      </c>
      <c r="C10" s="6" t="inlineStr">
        <is>
          <t>JD_DEMO_FE-M01</t>
        </is>
      </c>
      <c r="D10" s="6" t="inlineStr">
        <is>
          <t>must</t>
        </is>
      </c>
      <c r="E10" s="6" t="inlineStr">
        <is>
          <t>JavaScript</t>
        </is>
      </c>
      <c r="F10" s="8" t="n"/>
      <c r="G10" s="8" t="n"/>
      <c r="H10" s="8" t="n"/>
      <c r="I10" s="8" t="n"/>
      <c r="J10" s="9">
        <f>IF(F10="","Chưa chấm",IF(OR(F10="met",F10="mentioned_only"),IF(H10="","Thiếu trích dẫn","OK"),IF(AND(F10="unclear",I10=""),"Ghi lý do","OK")))</f>
        <v/>
      </c>
    </row>
    <row r="11">
      <c r="A11" s="6" t="inlineStr">
        <is>
          <t>DEMO-P03</t>
        </is>
      </c>
      <c r="B11" s="6" t="inlineStr">
        <is>
          <t>JD_DEMO_FE</t>
        </is>
      </c>
      <c r="C11" s="6" t="inlineStr">
        <is>
          <t>JD_DEMO_FE-M02</t>
        </is>
      </c>
      <c r="D11" s="6" t="inlineStr">
        <is>
          <t>must</t>
        </is>
      </c>
      <c r="E11" s="6" t="inlineStr">
        <is>
          <t>React</t>
        </is>
      </c>
      <c r="F11" s="8" t="n"/>
      <c r="G11" s="8" t="n"/>
      <c r="H11" s="8" t="n"/>
      <c r="I11" s="8" t="n"/>
      <c r="J11" s="9">
        <f>IF(F11="","Chưa chấm",IF(OR(F11="met",F11="mentioned_only"),IF(H11="","Thiếu trích dẫn","OK"),IF(AND(F11="unclear",I11=""),"Ghi lý do","OK")))</f>
        <v/>
      </c>
    </row>
    <row r="12">
      <c r="A12" s="6" t="inlineStr">
        <is>
          <t>DEMO-P03</t>
        </is>
      </c>
      <c r="B12" s="6" t="inlineStr">
        <is>
          <t>JD_DEMO_FE</t>
        </is>
      </c>
      <c r="C12" s="6" t="inlineStr">
        <is>
          <t>JD_DEMO_FE-M03</t>
        </is>
      </c>
      <c r="D12" s="6" t="inlineStr">
        <is>
          <t>must</t>
        </is>
      </c>
      <c r="E12" s="6" t="inlineStr">
        <is>
          <t>HTML/CSS</t>
        </is>
      </c>
      <c r="F12" s="8" t="n"/>
      <c r="G12" s="8" t="n"/>
      <c r="H12" s="8" t="n"/>
      <c r="I12" s="8" t="n"/>
      <c r="J12" s="9">
        <f>IF(F12="","Chưa chấm",IF(OR(F12="met",F12="mentioned_only"),IF(H12="","Thiếu trích dẫn","OK"),IF(AND(F12="unclear",I12=""),"Ghi lý do","OK")))</f>
        <v/>
      </c>
    </row>
    <row r="13">
      <c r="A13" s="6" t="inlineStr">
        <is>
          <t>DEMO-P03</t>
        </is>
      </c>
      <c r="B13" s="6" t="inlineStr">
        <is>
          <t>JD_DEMO_FE</t>
        </is>
      </c>
      <c r="C13" s="6" t="inlineStr">
        <is>
          <t>JD_DEMO_FE-M04</t>
        </is>
      </c>
      <c r="D13" s="6" t="inlineStr">
        <is>
          <t>must</t>
        </is>
      </c>
      <c r="E13" s="6" t="inlineStr">
        <is>
          <t>Responsive design</t>
        </is>
      </c>
      <c r="F13" s="8" t="n"/>
      <c r="G13" s="8" t="n"/>
      <c r="H13" s="8" t="n"/>
      <c r="I13" s="8" t="n"/>
      <c r="J13" s="9">
        <f>IF(F13="","Chưa chấm",IF(OR(F13="met",F13="mentioned_only"),IF(H13="","Thiếu trích dẫn","OK"),IF(AND(F13="unclear",I13=""),"Ghi lý do","OK")))</f>
        <v/>
      </c>
    </row>
    <row r="14">
      <c r="A14" s="6" t="inlineStr">
        <is>
          <t>DEMO-P03</t>
        </is>
      </c>
      <c r="B14" s="6" t="inlineStr">
        <is>
          <t>JD_DEMO_FE</t>
        </is>
      </c>
      <c r="C14" s="6" t="inlineStr">
        <is>
          <t>JD_DEMO_FE-N01</t>
        </is>
      </c>
      <c r="D14" s="6" t="inlineStr">
        <is>
          <t>nice</t>
        </is>
      </c>
      <c r="E14" s="6" t="inlineStr">
        <is>
          <t>TypeScript</t>
        </is>
      </c>
      <c r="F14" s="8" t="n"/>
      <c r="G14" s="8" t="n"/>
      <c r="H14" s="8" t="n"/>
      <c r="I14" s="8" t="n"/>
      <c r="J14" s="9">
        <f>IF(F14="","Chưa chấm",IF(OR(F14="met",F14="mentioned_only"),IF(H14="","Thiếu trích dẫn","OK"),IF(AND(F14="unclear",I14=""),"Ghi lý do","OK")))</f>
        <v/>
      </c>
    </row>
    <row r="15">
      <c r="A15" s="6" t="inlineStr">
        <is>
          <t>DEMO-P03</t>
        </is>
      </c>
      <c r="B15" s="6" t="inlineStr">
        <is>
          <t>JD_DEMO_FE</t>
        </is>
      </c>
      <c r="C15" s="6" t="inlineStr">
        <is>
          <t>JD_DEMO_FE-N02</t>
        </is>
      </c>
      <c r="D15" s="6" t="inlineStr">
        <is>
          <t>nice</t>
        </is>
      </c>
      <c r="E15" s="6" t="inlineStr">
        <is>
          <t>Figma</t>
        </is>
      </c>
      <c r="F15" s="8" t="n"/>
      <c r="G15" s="8" t="n"/>
      <c r="H15" s="8" t="n"/>
      <c r="I15" s="8" t="n"/>
      <c r="J15" s="9">
        <f>IF(F15="","Chưa chấm",IF(OR(F15="met",F15="mentioned_only"),IF(H15="","Thiếu trích dẫn","OK"),IF(AND(F15="unclear",I15=""),"Ghi lý do","OK")))</f>
        <v/>
      </c>
    </row>
    <row r="16">
      <c r="A16" s="7" t="inlineStr">
        <is>
          <t>DEMO-P02</t>
        </is>
      </c>
      <c r="B16" s="7" t="inlineStr">
        <is>
          <t>JD_DEMO_FE</t>
        </is>
      </c>
      <c r="C16" s="7" t="inlineStr">
        <is>
          <t>JD_DEMO_FE-M01</t>
        </is>
      </c>
      <c r="D16" s="7" t="inlineStr">
        <is>
          <t>must</t>
        </is>
      </c>
      <c r="E16" s="7" t="inlineStr">
        <is>
          <t>JavaScript</t>
        </is>
      </c>
      <c r="F16" s="8" t="n"/>
      <c r="G16" s="8" t="n"/>
      <c r="H16" s="8" t="n"/>
      <c r="I16" s="8" t="n"/>
      <c r="J16" s="9">
        <f>IF(F16="","Chưa chấm",IF(OR(F16="met",F16="mentioned_only"),IF(H16="","Thiếu trích dẫn","OK"),IF(AND(F16="unclear",I16=""),"Ghi lý do","OK")))</f>
        <v/>
      </c>
    </row>
    <row r="17">
      <c r="A17" s="7" t="inlineStr">
        <is>
          <t>DEMO-P02</t>
        </is>
      </c>
      <c r="B17" s="7" t="inlineStr">
        <is>
          <t>JD_DEMO_FE</t>
        </is>
      </c>
      <c r="C17" s="7" t="inlineStr">
        <is>
          <t>JD_DEMO_FE-M02</t>
        </is>
      </c>
      <c r="D17" s="7" t="inlineStr">
        <is>
          <t>must</t>
        </is>
      </c>
      <c r="E17" s="7" t="inlineStr">
        <is>
          <t>React</t>
        </is>
      </c>
      <c r="F17" s="8" t="n"/>
      <c r="G17" s="8" t="n"/>
      <c r="H17" s="8" t="n"/>
      <c r="I17" s="8" t="n"/>
      <c r="J17" s="9">
        <f>IF(F17="","Chưa chấm",IF(OR(F17="met",F17="mentioned_only"),IF(H17="","Thiếu trích dẫn","OK"),IF(AND(F17="unclear",I17=""),"Ghi lý do","OK")))</f>
        <v/>
      </c>
    </row>
    <row r="18">
      <c r="A18" s="7" t="inlineStr">
        <is>
          <t>DEMO-P02</t>
        </is>
      </c>
      <c r="B18" s="7" t="inlineStr">
        <is>
          <t>JD_DEMO_FE</t>
        </is>
      </c>
      <c r="C18" s="7" t="inlineStr">
        <is>
          <t>JD_DEMO_FE-M03</t>
        </is>
      </c>
      <c r="D18" s="7" t="inlineStr">
        <is>
          <t>must</t>
        </is>
      </c>
      <c r="E18" s="7" t="inlineStr">
        <is>
          <t>HTML/CSS</t>
        </is>
      </c>
      <c r="F18" s="8" t="n"/>
      <c r="G18" s="8" t="n"/>
      <c r="H18" s="8" t="n"/>
      <c r="I18" s="8" t="n"/>
      <c r="J18" s="9">
        <f>IF(F18="","Chưa chấm",IF(OR(F18="met",F18="mentioned_only"),IF(H18="","Thiếu trích dẫn","OK"),IF(AND(F18="unclear",I18=""),"Ghi lý do","OK")))</f>
        <v/>
      </c>
    </row>
    <row r="19">
      <c r="A19" s="7" t="inlineStr">
        <is>
          <t>DEMO-P02</t>
        </is>
      </c>
      <c r="B19" s="7" t="inlineStr">
        <is>
          <t>JD_DEMO_FE</t>
        </is>
      </c>
      <c r="C19" s="7" t="inlineStr">
        <is>
          <t>JD_DEMO_FE-M04</t>
        </is>
      </c>
      <c r="D19" s="7" t="inlineStr">
        <is>
          <t>must</t>
        </is>
      </c>
      <c r="E19" s="7" t="inlineStr">
        <is>
          <t>Responsive design</t>
        </is>
      </c>
      <c r="F19" s="8" t="n"/>
      <c r="G19" s="8" t="n"/>
      <c r="H19" s="8" t="n"/>
      <c r="I19" s="8" t="n"/>
      <c r="J19" s="9">
        <f>IF(F19="","Chưa chấm",IF(OR(F19="met",F19="mentioned_only"),IF(H19="","Thiếu trích dẫn","OK"),IF(AND(F19="unclear",I19=""),"Ghi lý do","OK")))</f>
        <v/>
      </c>
    </row>
    <row r="20">
      <c r="A20" s="7" t="inlineStr">
        <is>
          <t>DEMO-P02</t>
        </is>
      </c>
      <c r="B20" s="7" t="inlineStr">
        <is>
          <t>JD_DEMO_FE</t>
        </is>
      </c>
      <c r="C20" s="7" t="inlineStr">
        <is>
          <t>JD_DEMO_FE-N01</t>
        </is>
      </c>
      <c r="D20" s="7" t="inlineStr">
        <is>
          <t>nice</t>
        </is>
      </c>
      <c r="E20" s="7" t="inlineStr">
        <is>
          <t>TypeScript</t>
        </is>
      </c>
      <c r="F20" s="8" t="n"/>
      <c r="G20" s="8" t="n"/>
      <c r="H20" s="8" t="n"/>
      <c r="I20" s="8" t="n"/>
      <c r="J20" s="9">
        <f>IF(F20="","Chưa chấm",IF(OR(F20="met",F20="mentioned_only"),IF(H20="","Thiếu trích dẫn","OK"),IF(AND(F20="unclear",I20=""),"Ghi lý do","OK")))</f>
        <v/>
      </c>
    </row>
    <row r="21">
      <c r="A21" s="7" t="inlineStr">
        <is>
          <t>DEMO-P02</t>
        </is>
      </c>
      <c r="B21" s="7" t="inlineStr">
        <is>
          <t>JD_DEMO_FE</t>
        </is>
      </c>
      <c r="C21" s="7" t="inlineStr">
        <is>
          <t>JD_DEMO_FE-N02</t>
        </is>
      </c>
      <c r="D21" s="7" t="inlineStr">
        <is>
          <t>nice</t>
        </is>
      </c>
      <c r="E21" s="7" t="inlineStr">
        <is>
          <t>Figma</t>
        </is>
      </c>
      <c r="F21" s="8" t="n"/>
      <c r="G21" s="8" t="n"/>
      <c r="H21" s="8" t="n"/>
      <c r="I21" s="8" t="n"/>
      <c r="J21" s="9">
        <f>IF(F21="","Chưa chấm",IF(OR(F21="met",F21="mentioned_only"),IF(H21="","Thiếu trích dẫn","OK"),IF(AND(F21="unclear",I21=""),"Ghi lý do","OK")))</f>
        <v/>
      </c>
    </row>
  </sheetData>
  <autoFilter ref="A1:J21"/>
  <conditionalFormatting sqref="J2:J21">
    <cfRule type="cellIs" priority="1" operator="equal" dxfId="0">
      <formula>"OK"</formula>
    </cfRule>
    <cfRule type="cellIs" priority="2" operator="notEqual" dxfId="1">
      <formula>"OK"</formula>
    </cfRule>
  </conditionalFormatting>
  <dataValidations count="2">
    <dataValidation sqref="F2:F21" showDropDown="0" showInputMessage="0" showErrorMessage="1" allowBlank="1" errorTitle="Giá trị không hợp lệ" error="Chọn met, mentioned_only, missing hoặc unclear." type="list">
      <formula1>=DANH_MUC!$D$2:$D$5</formula1>
    </dataValidation>
    <dataValidation sqref="G2:G21" showDropDown="0" showInputMessage="0" showErrorMessage="1" allowBlank="1" errorTitle="Giá trị không hợp lệ" error="Chọn một mục trong danh sách." type="list">
      <formula1>=DANH_MUC!$C$2:$C$11</formula1>
    </dataValidation>
  </dataValidation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20" customWidth="1" min="4" max="4"/>
    <col width="30" customWidth="1" min="5" max="5"/>
    <col width="9" customWidth="1" min="6" max="6"/>
    <col width="16" customWidth="1" min="7" max="7"/>
    <col width="7" customWidth="1" min="8" max="8"/>
    <col width="16" customWidth="1" min="9" max="9"/>
    <col width="46" customWidth="1" min="10" max="10"/>
    <col width="36" customWidth="1" min="11" max="11"/>
    <col width="12" customWidth="1" min="12" max="12"/>
    <col width="26" customWidth="1" min="13" max="13"/>
    <col width="24" customWidth="1" min="14" max="14"/>
  </cols>
  <sheetData>
    <row r="1">
      <c r="A1" s="5" t="inlineStr">
        <is>
          <t>pair_id</t>
        </is>
      </c>
      <c r="B1" s="5" t="inlineStr">
        <is>
          <t>cv_id</t>
        </is>
      </c>
      <c r="C1" s="5" t="inlineStr">
        <is>
          <t>jd_id</t>
        </is>
      </c>
      <c r="D1" s="5" t="inlineStr">
        <is>
          <t>criterion_id</t>
        </is>
      </c>
      <c r="E1" s="5" t="inlineStr">
        <is>
          <t>tieu_chi</t>
        </is>
      </c>
      <c r="F1" s="5" t="inlineStr">
        <is>
          <t>trong_so</t>
        </is>
      </c>
      <c r="G1" s="5" t="inlineStr">
        <is>
          <t>trang_thai</t>
        </is>
      </c>
      <c r="H1" s="5" t="inlineStr">
        <is>
          <t>diem</t>
        </is>
      </c>
      <c r="I1" s="5" t="inlineStr">
        <is>
          <t>muc_bang_chung</t>
        </is>
      </c>
      <c r="J1" s="5" t="inlineStr">
        <is>
          <t>trich_dan</t>
        </is>
      </c>
      <c r="K1" s="5" t="inlineStr">
        <is>
          <t>ly_do</t>
        </is>
      </c>
      <c r="L1" s="5" t="inlineStr">
        <is>
          <t>do_tu_tin</t>
        </is>
      </c>
      <c r="M1" s="5" t="inlineStr">
        <is>
          <t>ghi_chu</t>
        </is>
      </c>
      <c r="N1" s="5" t="inlineStr">
        <is>
          <t>kiem_tra</t>
        </is>
      </c>
    </row>
    <row r="2">
      <c r="A2" s="7" t="inlineStr">
        <is>
          <t>DEMO-P01</t>
        </is>
      </c>
      <c r="B2" s="7" t="inlineStr">
        <is>
          <t>CV_DEMO_01</t>
        </is>
      </c>
      <c r="C2" s="7" t="inlineStr">
        <is>
          <t>JD_DEMO_BE</t>
        </is>
      </c>
      <c r="D2" s="7" t="inlineStr">
        <is>
          <t>C1_structure</t>
        </is>
      </c>
      <c r="E2" s="7" t="inlineStr">
        <is>
          <t>Cấu trúc và hình thức trình bày</t>
        </is>
      </c>
      <c r="F2" s="7" t="n">
        <v>10</v>
      </c>
      <c r="G2" s="8" t="n"/>
      <c r="H2" s="8" t="n"/>
      <c r="I2" s="8" t="n"/>
      <c r="J2" s="8" t="n"/>
      <c r="K2" s="8" t="n"/>
      <c r="L2" s="8" t="n"/>
      <c r="M2" s="8" t="n"/>
      <c r="N2" s="9">
        <f>IF(G2="","Chưa chấm",IF(G2="scored",IF(H2="","Thiếu điểm",IF(AND(H2&gt;=1,J2=""),"Thiếu trích dẫn","OK")),IF(G2="missing_in_cv",IF(OR(H2="",H2=0),"OK","missing_in_cv phải là 0"),IF(H2&lt;&gt;"","Bỏ trống điểm",IF(K2="","Ghi lý do","OK")))))</f>
        <v/>
      </c>
    </row>
    <row r="3">
      <c r="A3" s="7" t="inlineStr">
        <is>
          <t>DEMO-P01</t>
        </is>
      </c>
      <c r="B3" s="7" t="inlineStr">
        <is>
          <t>CV_DEMO_01</t>
        </is>
      </c>
      <c r="C3" s="7" t="inlineStr">
        <is>
          <t>JD_DEMO_BE</t>
        </is>
      </c>
      <c r="D3" s="7" t="inlineStr">
        <is>
          <t>C2_it_content</t>
        </is>
      </c>
      <c r="E3" s="7" t="inlineStr">
        <is>
          <t>Nội dung chuyên môn phù hợp lĩnh vực CNTT</t>
        </is>
      </c>
      <c r="F3" s="7" t="n">
        <v>10</v>
      </c>
      <c r="G3" s="8" t="n"/>
      <c r="H3" s="8" t="n"/>
      <c r="I3" s="8" t="n"/>
      <c r="J3" s="8" t="n"/>
      <c r="K3" s="8" t="n"/>
      <c r="L3" s="8" t="n"/>
      <c r="M3" s="8" t="n"/>
      <c r="N3" s="9">
        <f>IF(G3="","Chưa chấm",IF(G3="scored",IF(H3="","Thiếu điểm",IF(AND(H3&gt;=1,J3=""),"Thiếu trích dẫn","OK")),IF(G3="missing_in_cv",IF(OR(H3="",H3=0),"OK","missing_in_cv phải là 0"),IF(H3&lt;&gt;"","Bỏ trống điểm",IF(K3="","Ghi lý do","OK")))))</f>
        <v/>
      </c>
    </row>
    <row r="4">
      <c r="A4" s="7" t="inlineStr">
        <is>
          <t>DEMO-P01</t>
        </is>
      </c>
      <c r="B4" s="7" t="inlineStr">
        <is>
          <t>CV_DEMO_01</t>
        </is>
      </c>
      <c r="C4" s="7" t="inlineStr">
        <is>
          <t>JD_DEMO_BE</t>
        </is>
      </c>
      <c r="D4" s="7" t="inlineStr">
        <is>
          <t>C3_skills</t>
        </is>
      </c>
      <c r="E4" s="7" t="inlineStr">
        <is>
          <t>Kỹ năng chuyên môn và kỹ năng bổ trợ</t>
        </is>
      </c>
      <c r="F4" s="7" t="n">
        <v>15</v>
      </c>
      <c r="G4" s="8" t="n"/>
      <c r="H4" s="8" t="n"/>
      <c r="I4" s="8" t="n"/>
      <c r="J4" s="8" t="n"/>
      <c r="K4" s="8" t="n"/>
      <c r="L4" s="8" t="n"/>
      <c r="M4" s="8" t="n"/>
      <c r="N4" s="9">
        <f>IF(G4="","Chưa chấm",IF(G4="scored",IF(H4="","Thiếu điểm",IF(AND(H4&gt;=1,J4=""),"Thiếu trích dẫn","OK")),IF(G4="missing_in_cv",IF(OR(H4="",H4=0),"OK","missing_in_cv phải là 0"),IF(H4&lt;&gt;"","Bỏ trống điểm",IF(K4="","Ghi lý do","OK")))))</f>
        <v/>
      </c>
    </row>
    <row r="5">
      <c r="A5" s="7" t="inlineStr">
        <is>
          <t>DEMO-P01</t>
        </is>
      </c>
      <c r="B5" s="7" t="inlineStr">
        <is>
          <t>CV_DEMO_01</t>
        </is>
      </c>
      <c r="C5" s="7" t="inlineStr">
        <is>
          <t>JD_DEMO_BE</t>
        </is>
      </c>
      <c r="D5" s="7" t="inlineStr">
        <is>
          <t>C4_projects</t>
        </is>
      </c>
      <c r="E5" s="7" t="inlineStr">
        <is>
          <t>Chất lượng mô tả dự án</t>
        </is>
      </c>
      <c r="F5" s="7" t="n">
        <v>15</v>
      </c>
      <c r="G5" s="8" t="n"/>
      <c r="H5" s="8" t="n"/>
      <c r="I5" s="8" t="n"/>
      <c r="J5" s="8" t="n"/>
      <c r="K5" s="8" t="n"/>
      <c r="L5" s="8" t="n"/>
      <c r="M5" s="8" t="n"/>
      <c r="N5" s="9">
        <f>IF(G5="","Chưa chấm",IF(G5="scored",IF(H5="","Thiếu điểm",IF(AND(H5&gt;=1,J5=""),"Thiếu trích dẫn","OK")),IF(G5="missing_in_cv",IF(OR(H5="",H5=0),"OK","missing_in_cv phải là 0"),IF(H5&lt;&gt;"","Bỏ trống điểm",IF(K5="","Ghi lý do","OK")))))</f>
        <v/>
      </c>
    </row>
    <row r="6">
      <c r="A6" s="7" t="inlineStr">
        <is>
          <t>DEMO-P01</t>
        </is>
      </c>
      <c r="B6" s="7" t="inlineStr">
        <is>
          <t>CV_DEMO_01</t>
        </is>
      </c>
      <c r="C6" s="7" t="inlineStr">
        <is>
          <t>JD_DEMO_BE</t>
        </is>
      </c>
      <c r="D6" s="7" t="inlineStr">
        <is>
          <t>C5_experience</t>
        </is>
      </c>
      <c r="E6" s="7" t="inlineStr">
        <is>
          <t>Kinh nghiệm làm việc hoặc thực tập</t>
        </is>
      </c>
      <c r="F6" s="7" t="n">
        <v>10</v>
      </c>
      <c r="G6" s="8" t="n"/>
      <c r="H6" s="8" t="n"/>
      <c r="I6" s="8" t="n"/>
      <c r="J6" s="8" t="n"/>
      <c r="K6" s="8" t="n"/>
      <c r="L6" s="8" t="n"/>
      <c r="M6" s="8" t="n"/>
      <c r="N6" s="9">
        <f>IF(G6="","Chưa chấm",IF(G6="scored",IF(H6="","Thiếu điểm",IF(AND(H6&gt;=1,J6=""),"Thiếu trích dẫn","OK")),IF(G6="missing_in_cv",IF(OR(H6="",H6=0),"OK","missing_in_cv phải là 0"),IF(H6&lt;&gt;"","Bỏ trống điểm",IF(K6="","Ghi lý do","OK")))))</f>
        <v/>
      </c>
    </row>
    <row r="7">
      <c r="A7" s="7" t="inlineStr">
        <is>
          <t>DEMO-P01</t>
        </is>
      </c>
      <c r="B7" s="7" t="inlineStr">
        <is>
          <t>CV_DEMO_01</t>
        </is>
      </c>
      <c r="C7" s="7" t="inlineStr">
        <is>
          <t>JD_DEMO_BE</t>
        </is>
      </c>
      <c r="D7" s="7" t="inlineStr">
        <is>
          <t>C6_certs_activities</t>
        </is>
      </c>
      <c r="E7" s="7" t="inlineStr">
        <is>
          <t>Chứng chỉ, thành tích và hoạt động liên quan</t>
        </is>
      </c>
      <c r="F7" s="7" t="n">
        <v>5</v>
      </c>
      <c r="G7" s="8" t="n"/>
      <c r="H7" s="8" t="n"/>
      <c r="I7" s="8" t="n"/>
      <c r="J7" s="8" t="n"/>
      <c r="K7" s="8" t="n"/>
      <c r="L7" s="8" t="n"/>
      <c r="M7" s="8" t="n"/>
      <c r="N7" s="9">
        <f>IF(G7="","Chưa chấm",IF(G7="scored",IF(H7="","Thiếu điểm",IF(AND(H7&gt;=1,J7=""),"Thiếu trích dẫn","OK")),IF(G7="missing_in_cv",IF(OR(H7="",H7=0),"OK","missing_in_cv phải là 0"),IF(H7&lt;&gt;"","Bỏ trống điểm",IF(K7="","Ghi lý do","OK")))))</f>
        <v/>
      </c>
    </row>
    <row r="8">
      <c r="A8" s="7" t="inlineStr">
        <is>
          <t>DEMO-P01</t>
        </is>
      </c>
      <c r="B8" s="7" t="inlineStr">
        <is>
          <t>CV_DEMO_01</t>
        </is>
      </c>
      <c r="C8" s="7" t="inlineStr">
        <is>
          <t>JD_DEMO_BE</t>
        </is>
      </c>
      <c r="D8" s="7" t="inlineStr">
        <is>
          <t>C7_ats</t>
        </is>
      </c>
      <c r="E8" s="7" t="inlineStr">
        <is>
          <t>Khả năng đáp ứng ATS (máy đọc được)</t>
        </is>
      </c>
      <c r="F8" s="7" t="n">
        <v>10</v>
      </c>
      <c r="G8" s="8" t="n"/>
      <c r="H8" s="8" t="n"/>
      <c r="I8" s="8" t="n"/>
      <c r="J8" s="8" t="n"/>
      <c r="K8" s="8" t="n"/>
      <c r="L8" s="8" t="n"/>
      <c r="M8" s="8" t="n"/>
      <c r="N8" s="9">
        <f>IF(G8="","Chưa chấm",IF(G8="scored",IF(H8="","Thiếu điểm",IF(AND(H8&gt;=1,J8=""),"Thiếu trích dẫn","OK")),IF(G8="missing_in_cv",IF(OR(H8="",H8=0),"OK","missing_in_cv phải là 0"),IF(H8&lt;&gt;"","Bỏ trống điểm",IF(K8="","Ghi lý do","OK")))))</f>
        <v/>
      </c>
    </row>
    <row r="9">
      <c r="A9" s="7" t="inlineStr">
        <is>
          <t>DEMO-P01</t>
        </is>
      </c>
      <c r="B9" s="7" t="inlineStr">
        <is>
          <t>CV_DEMO_01</t>
        </is>
      </c>
      <c r="C9" s="7" t="inlineStr">
        <is>
          <t>JD_DEMO_BE</t>
        </is>
      </c>
      <c r="D9" s="7" t="inlineStr">
        <is>
          <t>C8_jd_fit</t>
        </is>
      </c>
      <c r="E9" s="7" t="inlineStr">
        <is>
          <t>Mức phù hợp với Job Description</t>
        </is>
      </c>
      <c r="F9" s="7" t="n">
        <v>25</v>
      </c>
      <c r="G9" s="8" t="n"/>
      <c r="H9" s="8" t="n"/>
      <c r="I9" s="8" t="n"/>
      <c r="J9" s="8" t="n"/>
      <c r="K9" s="8" t="n"/>
      <c r="L9" s="8" t="n"/>
      <c r="M9" s="8" t="n"/>
      <c r="N9" s="9">
        <f>IF(G9="","Chưa chấm",IF(G9="scored",IF(H9="","Thiếu điểm",IF(AND(H9&gt;=1,J9=""),"Thiếu trích dẫn","OK")),IF(G9="missing_in_cv",IF(OR(H9="",H9=0),"OK","missing_in_cv phải là 0"),IF(H9&lt;&gt;"","Bỏ trống điểm",IF(K9="","Ghi lý do","OK")))))</f>
        <v/>
      </c>
    </row>
    <row r="10">
      <c r="A10" s="6" t="inlineStr">
        <is>
          <t>DEMO-P03</t>
        </is>
      </c>
      <c r="B10" s="6" t="inlineStr">
        <is>
          <t>CV_DEMO_02</t>
        </is>
      </c>
      <c r="C10" s="6" t="inlineStr">
        <is>
          <t>JD_DEMO_FE</t>
        </is>
      </c>
      <c r="D10" s="6" t="inlineStr">
        <is>
          <t>C1_structure</t>
        </is>
      </c>
      <c r="E10" s="6" t="inlineStr">
        <is>
          <t>Cấu trúc và hình thức trình bày</t>
        </is>
      </c>
      <c r="F10" s="6" t="n">
        <v>10</v>
      </c>
      <c r="G10" s="8" t="n"/>
      <c r="H10" s="8" t="n"/>
      <c r="I10" s="8" t="n"/>
      <c r="J10" s="8" t="n"/>
      <c r="K10" s="8" t="n"/>
      <c r="L10" s="8" t="n"/>
      <c r="M10" s="8" t="n"/>
      <c r="N10" s="9">
        <f>IF(G10="","Chưa chấm",IF(G10="scored",IF(H10="","Thiếu điểm",IF(AND(H10&gt;=1,J10=""),"Thiếu trích dẫn","OK")),IF(G10="missing_in_cv",IF(OR(H10="",H10=0),"OK","missing_in_cv phải là 0"),IF(H10&lt;&gt;"","Bỏ trống điểm",IF(K10="","Ghi lý do","OK")))))</f>
        <v/>
      </c>
    </row>
    <row r="11">
      <c r="A11" s="6" t="inlineStr">
        <is>
          <t>DEMO-P03</t>
        </is>
      </c>
      <c r="B11" s="6" t="inlineStr">
        <is>
          <t>CV_DEMO_02</t>
        </is>
      </c>
      <c r="C11" s="6" t="inlineStr">
        <is>
          <t>JD_DEMO_FE</t>
        </is>
      </c>
      <c r="D11" s="6" t="inlineStr">
        <is>
          <t>C2_it_content</t>
        </is>
      </c>
      <c r="E11" s="6" t="inlineStr">
        <is>
          <t>Nội dung chuyên môn phù hợp lĩnh vực CNTT</t>
        </is>
      </c>
      <c r="F11" s="6" t="n">
        <v>10</v>
      </c>
      <c r="G11" s="8" t="n"/>
      <c r="H11" s="8" t="n"/>
      <c r="I11" s="8" t="n"/>
      <c r="J11" s="8" t="n"/>
      <c r="K11" s="8" t="n"/>
      <c r="L11" s="8" t="n"/>
      <c r="M11" s="8" t="n"/>
      <c r="N11" s="9">
        <f>IF(G11="","Chưa chấm",IF(G11="scored",IF(H11="","Thiếu điểm",IF(AND(H11&gt;=1,J11=""),"Thiếu trích dẫn","OK")),IF(G11="missing_in_cv",IF(OR(H11="",H11=0),"OK","missing_in_cv phải là 0"),IF(H11&lt;&gt;"","Bỏ trống điểm",IF(K11="","Ghi lý do","OK")))))</f>
        <v/>
      </c>
    </row>
    <row r="12">
      <c r="A12" s="6" t="inlineStr">
        <is>
          <t>DEMO-P03</t>
        </is>
      </c>
      <c r="B12" s="6" t="inlineStr">
        <is>
          <t>CV_DEMO_02</t>
        </is>
      </c>
      <c r="C12" s="6" t="inlineStr">
        <is>
          <t>JD_DEMO_FE</t>
        </is>
      </c>
      <c r="D12" s="6" t="inlineStr">
        <is>
          <t>C3_skills</t>
        </is>
      </c>
      <c r="E12" s="6" t="inlineStr">
        <is>
          <t>Kỹ năng chuyên môn và kỹ năng bổ trợ</t>
        </is>
      </c>
      <c r="F12" s="6" t="n">
        <v>15</v>
      </c>
      <c r="G12" s="8" t="n"/>
      <c r="H12" s="8" t="n"/>
      <c r="I12" s="8" t="n"/>
      <c r="J12" s="8" t="n"/>
      <c r="K12" s="8" t="n"/>
      <c r="L12" s="8" t="n"/>
      <c r="M12" s="8" t="n"/>
      <c r="N12" s="9">
        <f>IF(G12="","Chưa chấm",IF(G12="scored",IF(H12="","Thiếu điểm",IF(AND(H12&gt;=1,J12=""),"Thiếu trích dẫn","OK")),IF(G12="missing_in_cv",IF(OR(H12="",H12=0),"OK","missing_in_cv phải là 0"),IF(H12&lt;&gt;"","Bỏ trống điểm",IF(K12="","Ghi lý do","OK")))))</f>
        <v/>
      </c>
    </row>
    <row r="13">
      <c r="A13" s="6" t="inlineStr">
        <is>
          <t>DEMO-P03</t>
        </is>
      </c>
      <c r="B13" s="6" t="inlineStr">
        <is>
          <t>CV_DEMO_02</t>
        </is>
      </c>
      <c r="C13" s="6" t="inlineStr">
        <is>
          <t>JD_DEMO_FE</t>
        </is>
      </c>
      <c r="D13" s="6" t="inlineStr">
        <is>
          <t>C4_projects</t>
        </is>
      </c>
      <c r="E13" s="6" t="inlineStr">
        <is>
          <t>Chất lượng mô tả dự án</t>
        </is>
      </c>
      <c r="F13" s="6" t="n">
        <v>15</v>
      </c>
      <c r="G13" s="8" t="n"/>
      <c r="H13" s="8" t="n"/>
      <c r="I13" s="8" t="n"/>
      <c r="J13" s="8" t="n"/>
      <c r="K13" s="8" t="n"/>
      <c r="L13" s="8" t="n"/>
      <c r="M13" s="8" t="n"/>
      <c r="N13" s="9">
        <f>IF(G13="","Chưa chấm",IF(G13="scored",IF(H13="","Thiếu điểm",IF(AND(H13&gt;=1,J13=""),"Thiếu trích dẫn","OK")),IF(G13="missing_in_cv",IF(OR(H13="",H13=0),"OK","missing_in_cv phải là 0"),IF(H13&lt;&gt;"","Bỏ trống điểm",IF(K13="","Ghi lý do","OK")))))</f>
        <v/>
      </c>
    </row>
    <row r="14">
      <c r="A14" s="6" t="inlineStr">
        <is>
          <t>DEMO-P03</t>
        </is>
      </c>
      <c r="B14" s="6" t="inlineStr">
        <is>
          <t>CV_DEMO_02</t>
        </is>
      </c>
      <c r="C14" s="6" t="inlineStr">
        <is>
          <t>JD_DEMO_FE</t>
        </is>
      </c>
      <c r="D14" s="6" t="inlineStr">
        <is>
          <t>C5_experience</t>
        </is>
      </c>
      <c r="E14" s="6" t="inlineStr">
        <is>
          <t>Kinh nghiệm làm việc hoặc thực tập</t>
        </is>
      </c>
      <c r="F14" s="6" t="n">
        <v>10</v>
      </c>
      <c r="G14" s="8" t="n"/>
      <c r="H14" s="8" t="n"/>
      <c r="I14" s="8" t="n"/>
      <c r="J14" s="8" t="n"/>
      <c r="K14" s="8" t="n"/>
      <c r="L14" s="8" t="n"/>
      <c r="M14" s="8" t="n"/>
      <c r="N14" s="9">
        <f>IF(G14="","Chưa chấm",IF(G14="scored",IF(H14="","Thiếu điểm",IF(AND(H14&gt;=1,J14=""),"Thiếu trích dẫn","OK")),IF(G14="missing_in_cv",IF(OR(H14="",H14=0),"OK","missing_in_cv phải là 0"),IF(H14&lt;&gt;"","Bỏ trống điểm",IF(K14="","Ghi lý do","OK")))))</f>
        <v/>
      </c>
    </row>
    <row r="15">
      <c r="A15" s="6" t="inlineStr">
        <is>
          <t>DEMO-P03</t>
        </is>
      </c>
      <c r="B15" s="6" t="inlineStr">
        <is>
          <t>CV_DEMO_02</t>
        </is>
      </c>
      <c r="C15" s="6" t="inlineStr">
        <is>
          <t>JD_DEMO_FE</t>
        </is>
      </c>
      <c r="D15" s="6" t="inlineStr">
        <is>
          <t>C6_certs_activities</t>
        </is>
      </c>
      <c r="E15" s="6" t="inlineStr">
        <is>
          <t>Chứng chỉ, thành tích và hoạt động liên quan</t>
        </is>
      </c>
      <c r="F15" s="6" t="n">
        <v>5</v>
      </c>
      <c r="G15" s="8" t="n"/>
      <c r="H15" s="8" t="n"/>
      <c r="I15" s="8" t="n"/>
      <c r="J15" s="8" t="n"/>
      <c r="K15" s="8" t="n"/>
      <c r="L15" s="8" t="n"/>
      <c r="M15" s="8" t="n"/>
      <c r="N15" s="9">
        <f>IF(G15="","Chưa chấm",IF(G15="scored",IF(H15="","Thiếu điểm",IF(AND(H15&gt;=1,J15=""),"Thiếu trích dẫn","OK")),IF(G15="missing_in_cv",IF(OR(H15="",H15=0),"OK","missing_in_cv phải là 0"),IF(H15&lt;&gt;"","Bỏ trống điểm",IF(K15="","Ghi lý do","OK")))))</f>
        <v/>
      </c>
    </row>
    <row r="16">
      <c r="A16" s="6" t="inlineStr">
        <is>
          <t>DEMO-P03</t>
        </is>
      </c>
      <c r="B16" s="6" t="inlineStr">
        <is>
          <t>CV_DEMO_02</t>
        </is>
      </c>
      <c r="C16" s="6" t="inlineStr">
        <is>
          <t>JD_DEMO_FE</t>
        </is>
      </c>
      <c r="D16" s="6" t="inlineStr">
        <is>
          <t>C7_ats</t>
        </is>
      </c>
      <c r="E16" s="6" t="inlineStr">
        <is>
          <t>Khả năng đáp ứng ATS (máy đọc được)</t>
        </is>
      </c>
      <c r="F16" s="6" t="n">
        <v>10</v>
      </c>
      <c r="G16" s="8" t="n"/>
      <c r="H16" s="8" t="n"/>
      <c r="I16" s="8" t="n"/>
      <c r="J16" s="8" t="n"/>
      <c r="K16" s="8" t="n"/>
      <c r="L16" s="8" t="n"/>
      <c r="M16" s="8" t="n"/>
      <c r="N16" s="9">
        <f>IF(G16="","Chưa chấm",IF(G16="scored",IF(H16="","Thiếu điểm",IF(AND(H16&gt;=1,J16=""),"Thiếu trích dẫn","OK")),IF(G16="missing_in_cv",IF(OR(H16="",H16=0),"OK","missing_in_cv phải là 0"),IF(H16&lt;&gt;"","Bỏ trống điểm",IF(K16="","Ghi lý do","OK")))))</f>
        <v/>
      </c>
    </row>
    <row r="17">
      <c r="A17" s="6" t="inlineStr">
        <is>
          <t>DEMO-P03</t>
        </is>
      </c>
      <c r="B17" s="6" t="inlineStr">
        <is>
          <t>CV_DEMO_02</t>
        </is>
      </c>
      <c r="C17" s="6" t="inlineStr">
        <is>
          <t>JD_DEMO_FE</t>
        </is>
      </c>
      <c r="D17" s="6" t="inlineStr">
        <is>
          <t>C8_jd_fit</t>
        </is>
      </c>
      <c r="E17" s="6" t="inlineStr">
        <is>
          <t>Mức phù hợp với Job Description</t>
        </is>
      </c>
      <c r="F17" s="6" t="n">
        <v>25</v>
      </c>
      <c r="G17" s="8" t="n"/>
      <c r="H17" s="8" t="n"/>
      <c r="I17" s="8" t="n"/>
      <c r="J17" s="8" t="n"/>
      <c r="K17" s="8" t="n"/>
      <c r="L17" s="8" t="n"/>
      <c r="M17" s="8" t="n"/>
      <c r="N17" s="9">
        <f>IF(G17="","Chưa chấm",IF(G17="scored",IF(H17="","Thiếu điểm",IF(AND(H17&gt;=1,J17=""),"Thiếu trích dẫn","OK")),IF(G17="missing_in_cv",IF(OR(H17="",H17=0),"OK","missing_in_cv phải là 0"),IF(H17&lt;&gt;"","Bỏ trống điểm",IF(K17="","Ghi lý do","OK")))))</f>
        <v/>
      </c>
    </row>
    <row r="18">
      <c r="A18" s="7" t="inlineStr">
        <is>
          <t>DEMO-P02</t>
        </is>
      </c>
      <c r="B18" s="7" t="inlineStr">
        <is>
          <t>CV_DEMO_01</t>
        </is>
      </c>
      <c r="C18" s="7" t="inlineStr">
        <is>
          <t>JD_DEMO_FE</t>
        </is>
      </c>
      <c r="D18" s="7" t="inlineStr">
        <is>
          <t>C1_structure</t>
        </is>
      </c>
      <c r="E18" s="7" t="inlineStr">
        <is>
          <t>Cấu trúc và hình thức trình bày</t>
        </is>
      </c>
      <c r="F18" s="7" t="n">
        <v>10</v>
      </c>
      <c r="G18" s="8" t="n"/>
      <c r="H18" s="8" t="n"/>
      <c r="I18" s="8" t="n"/>
      <c r="J18" s="8" t="n"/>
      <c r="K18" s="8" t="n"/>
      <c r="L18" s="8" t="n"/>
      <c r="M18" s="8" t="n"/>
      <c r="N18" s="9">
        <f>IF(G18="","Chưa chấm",IF(G18="scored",IF(H18="","Thiếu điểm",IF(AND(H18&gt;=1,J18=""),"Thiếu trích dẫn","OK")),IF(G18="missing_in_cv",IF(OR(H18="",H18=0),"OK","missing_in_cv phải là 0"),IF(H18&lt;&gt;"","Bỏ trống điểm",IF(K18="","Ghi lý do","OK")))))</f>
        <v/>
      </c>
    </row>
    <row r="19">
      <c r="A19" s="7" t="inlineStr">
        <is>
          <t>DEMO-P02</t>
        </is>
      </c>
      <c r="B19" s="7" t="inlineStr">
        <is>
          <t>CV_DEMO_01</t>
        </is>
      </c>
      <c r="C19" s="7" t="inlineStr">
        <is>
          <t>JD_DEMO_FE</t>
        </is>
      </c>
      <c r="D19" s="7" t="inlineStr">
        <is>
          <t>C2_it_content</t>
        </is>
      </c>
      <c r="E19" s="7" t="inlineStr">
        <is>
          <t>Nội dung chuyên môn phù hợp lĩnh vực CNTT</t>
        </is>
      </c>
      <c r="F19" s="7" t="n">
        <v>10</v>
      </c>
      <c r="G19" s="8" t="n"/>
      <c r="H19" s="8" t="n"/>
      <c r="I19" s="8" t="n"/>
      <c r="J19" s="8" t="n"/>
      <c r="K19" s="8" t="n"/>
      <c r="L19" s="8" t="n"/>
      <c r="M19" s="8" t="n"/>
      <c r="N19" s="9">
        <f>IF(G19="","Chưa chấm",IF(G19="scored",IF(H19="","Thiếu điểm",IF(AND(H19&gt;=1,J19=""),"Thiếu trích dẫn","OK")),IF(G19="missing_in_cv",IF(OR(H19="",H19=0),"OK","missing_in_cv phải là 0"),IF(H19&lt;&gt;"","Bỏ trống điểm",IF(K19="","Ghi lý do","OK")))))</f>
        <v/>
      </c>
    </row>
    <row r="20">
      <c r="A20" s="7" t="inlineStr">
        <is>
          <t>DEMO-P02</t>
        </is>
      </c>
      <c r="B20" s="7" t="inlineStr">
        <is>
          <t>CV_DEMO_01</t>
        </is>
      </c>
      <c r="C20" s="7" t="inlineStr">
        <is>
          <t>JD_DEMO_FE</t>
        </is>
      </c>
      <c r="D20" s="7" t="inlineStr">
        <is>
          <t>C3_skills</t>
        </is>
      </c>
      <c r="E20" s="7" t="inlineStr">
        <is>
          <t>Kỹ năng chuyên môn và kỹ năng bổ trợ</t>
        </is>
      </c>
      <c r="F20" s="7" t="n">
        <v>15</v>
      </c>
      <c r="G20" s="8" t="n"/>
      <c r="H20" s="8" t="n"/>
      <c r="I20" s="8" t="n"/>
      <c r="J20" s="8" t="n"/>
      <c r="K20" s="8" t="n"/>
      <c r="L20" s="8" t="n"/>
      <c r="M20" s="8" t="n"/>
      <c r="N20" s="9">
        <f>IF(G20="","Chưa chấm",IF(G20="scored",IF(H20="","Thiếu điểm",IF(AND(H20&gt;=1,J20=""),"Thiếu trích dẫn","OK")),IF(G20="missing_in_cv",IF(OR(H20="",H20=0),"OK","missing_in_cv phải là 0"),IF(H20&lt;&gt;"","Bỏ trống điểm",IF(K20="","Ghi lý do","OK")))))</f>
        <v/>
      </c>
    </row>
    <row r="21">
      <c r="A21" s="7" t="inlineStr">
        <is>
          <t>DEMO-P02</t>
        </is>
      </c>
      <c r="B21" s="7" t="inlineStr">
        <is>
          <t>CV_DEMO_01</t>
        </is>
      </c>
      <c r="C21" s="7" t="inlineStr">
        <is>
          <t>JD_DEMO_FE</t>
        </is>
      </c>
      <c r="D21" s="7" t="inlineStr">
        <is>
          <t>C4_projects</t>
        </is>
      </c>
      <c r="E21" s="7" t="inlineStr">
        <is>
          <t>Chất lượng mô tả dự án</t>
        </is>
      </c>
      <c r="F21" s="7" t="n">
        <v>15</v>
      </c>
      <c r="G21" s="8" t="n"/>
      <c r="H21" s="8" t="n"/>
      <c r="I21" s="8" t="n"/>
      <c r="J21" s="8" t="n"/>
      <c r="K21" s="8" t="n"/>
      <c r="L21" s="8" t="n"/>
      <c r="M21" s="8" t="n"/>
      <c r="N21" s="9">
        <f>IF(G21="","Chưa chấm",IF(G21="scored",IF(H21="","Thiếu điểm",IF(AND(H21&gt;=1,J21=""),"Thiếu trích dẫn","OK")),IF(G21="missing_in_cv",IF(OR(H21="",H21=0),"OK","missing_in_cv phải là 0"),IF(H21&lt;&gt;"","Bỏ trống điểm",IF(K21="","Ghi lý do","OK")))))</f>
        <v/>
      </c>
    </row>
    <row r="22">
      <c r="A22" s="7" t="inlineStr">
        <is>
          <t>DEMO-P02</t>
        </is>
      </c>
      <c r="B22" s="7" t="inlineStr">
        <is>
          <t>CV_DEMO_01</t>
        </is>
      </c>
      <c r="C22" s="7" t="inlineStr">
        <is>
          <t>JD_DEMO_FE</t>
        </is>
      </c>
      <c r="D22" s="7" t="inlineStr">
        <is>
          <t>C5_experience</t>
        </is>
      </c>
      <c r="E22" s="7" t="inlineStr">
        <is>
          <t>Kinh nghiệm làm việc hoặc thực tập</t>
        </is>
      </c>
      <c r="F22" s="7" t="n">
        <v>10</v>
      </c>
      <c r="G22" s="8" t="n"/>
      <c r="H22" s="8" t="n"/>
      <c r="I22" s="8" t="n"/>
      <c r="J22" s="8" t="n"/>
      <c r="K22" s="8" t="n"/>
      <c r="L22" s="8" t="n"/>
      <c r="M22" s="8" t="n"/>
      <c r="N22" s="9">
        <f>IF(G22="","Chưa chấm",IF(G22="scored",IF(H22="","Thiếu điểm",IF(AND(H22&gt;=1,J22=""),"Thiếu trích dẫn","OK")),IF(G22="missing_in_cv",IF(OR(H22="",H22=0),"OK","missing_in_cv phải là 0"),IF(H22&lt;&gt;"","Bỏ trống điểm",IF(K22="","Ghi lý do","OK")))))</f>
        <v/>
      </c>
    </row>
    <row r="23">
      <c r="A23" s="7" t="inlineStr">
        <is>
          <t>DEMO-P02</t>
        </is>
      </c>
      <c r="B23" s="7" t="inlineStr">
        <is>
          <t>CV_DEMO_01</t>
        </is>
      </c>
      <c r="C23" s="7" t="inlineStr">
        <is>
          <t>JD_DEMO_FE</t>
        </is>
      </c>
      <c r="D23" s="7" t="inlineStr">
        <is>
          <t>C6_certs_activities</t>
        </is>
      </c>
      <c r="E23" s="7" t="inlineStr">
        <is>
          <t>Chứng chỉ, thành tích và hoạt động liên quan</t>
        </is>
      </c>
      <c r="F23" s="7" t="n">
        <v>5</v>
      </c>
      <c r="G23" s="8" t="n"/>
      <c r="H23" s="8" t="n"/>
      <c r="I23" s="8" t="n"/>
      <c r="J23" s="8" t="n"/>
      <c r="K23" s="8" t="n"/>
      <c r="L23" s="8" t="n"/>
      <c r="M23" s="8" t="n"/>
      <c r="N23" s="9">
        <f>IF(G23="","Chưa chấm",IF(G23="scored",IF(H23="","Thiếu điểm",IF(AND(H23&gt;=1,J23=""),"Thiếu trích dẫn","OK")),IF(G23="missing_in_cv",IF(OR(H23="",H23=0),"OK","missing_in_cv phải là 0"),IF(H23&lt;&gt;"","Bỏ trống điểm",IF(K23="","Ghi lý do","OK")))))</f>
        <v/>
      </c>
    </row>
    <row r="24">
      <c r="A24" s="7" t="inlineStr">
        <is>
          <t>DEMO-P02</t>
        </is>
      </c>
      <c r="B24" s="7" t="inlineStr">
        <is>
          <t>CV_DEMO_01</t>
        </is>
      </c>
      <c r="C24" s="7" t="inlineStr">
        <is>
          <t>JD_DEMO_FE</t>
        </is>
      </c>
      <c r="D24" s="7" t="inlineStr">
        <is>
          <t>C7_ats</t>
        </is>
      </c>
      <c r="E24" s="7" t="inlineStr">
        <is>
          <t>Khả năng đáp ứng ATS (máy đọc được)</t>
        </is>
      </c>
      <c r="F24" s="7" t="n">
        <v>10</v>
      </c>
      <c r="G24" s="8" t="n"/>
      <c r="H24" s="8" t="n"/>
      <c r="I24" s="8" t="n"/>
      <c r="J24" s="8" t="n"/>
      <c r="K24" s="8" t="n"/>
      <c r="L24" s="8" t="n"/>
      <c r="M24" s="8" t="n"/>
      <c r="N24" s="9">
        <f>IF(G24="","Chưa chấm",IF(G24="scored",IF(H24="","Thiếu điểm",IF(AND(H24&gt;=1,J24=""),"Thiếu trích dẫn","OK")),IF(G24="missing_in_cv",IF(OR(H24="",H24=0),"OK","missing_in_cv phải là 0"),IF(H24&lt;&gt;"","Bỏ trống điểm",IF(K24="","Ghi lý do","OK")))))</f>
        <v/>
      </c>
    </row>
    <row r="25">
      <c r="A25" s="7" t="inlineStr">
        <is>
          <t>DEMO-P02</t>
        </is>
      </c>
      <c r="B25" s="7" t="inlineStr">
        <is>
          <t>CV_DEMO_01</t>
        </is>
      </c>
      <c r="C25" s="7" t="inlineStr">
        <is>
          <t>JD_DEMO_FE</t>
        </is>
      </c>
      <c r="D25" s="7" t="inlineStr">
        <is>
          <t>C8_jd_fit</t>
        </is>
      </c>
      <c r="E25" s="7" t="inlineStr">
        <is>
          <t>Mức phù hợp với Job Description</t>
        </is>
      </c>
      <c r="F25" s="7" t="n">
        <v>25</v>
      </c>
      <c r="G25" s="8" t="n"/>
      <c r="H25" s="8" t="n"/>
      <c r="I25" s="8" t="n"/>
      <c r="J25" s="8" t="n"/>
      <c r="K25" s="8" t="n"/>
      <c r="L25" s="8" t="n"/>
      <c r="M25" s="8" t="n"/>
      <c r="N25" s="9">
        <f>IF(G25="","Chưa chấm",IF(G25="scored",IF(H25="","Thiếu điểm",IF(AND(H25&gt;=1,J25=""),"Thiếu trích dẫn","OK")),IF(G25="missing_in_cv",IF(OR(H25="",H25=0),"OK","missing_in_cv phải là 0"),IF(H25&lt;&gt;"","Bỏ trống điểm",IF(K25="","Ghi lý do","OK")))))</f>
        <v/>
      </c>
    </row>
  </sheetData>
  <autoFilter ref="A1:N25"/>
  <conditionalFormatting sqref="N2:N25">
    <cfRule type="cellIs" priority="1" operator="equal" dxfId="0">
      <formula>"OK"</formula>
    </cfRule>
    <cfRule type="cellIs" priority="2" operator="notEqual" dxfId="1">
      <formula>"OK"</formula>
    </cfRule>
  </conditionalFormatting>
  <dataValidations count="4">
    <dataValidation sqref="G2:G25" showDropDown="0" showInputMessage="0" showErrorMessage="1" allowBlank="1" errorTitle="Giá trị không hợp lệ" error="Chọn scored, missing_in_cv, not_applicable hoặc unreadable." type="list">
      <formula1>=DANH_MUC!$A$2:$A$5</formula1>
    </dataValidation>
    <dataValidation sqref="H2:H25" showDropDown="0" showInputMessage="0" showErrorMessage="1" allowBlank="1" errorTitle="Giá trị không hợp lệ" error="Điểm là số nguyên 0–4." type="list">
      <formula1>=DANH_MUC!$B$2:$B$6</formula1>
    </dataValidation>
    <dataValidation sqref="I2:I25" showDropDown="0" showInputMessage="0" showErrorMessage="1" allowBlank="1" errorTitle="Giá trị không hợp lệ" error="Chọn một mục trong danh sách." type="list">
      <formula1>=DANH_MUC!$C$2:$C$11</formula1>
    </dataValidation>
    <dataValidation sqref="L2:L25" showDropDown="0" showInputMessage="0" showErrorMessage="1" allowBlank="1" errorTitle="Giá trị không hợp lệ" error="Chọn cao, trung_binh hoặc thap." type="list">
      <formula1>=DANH_MUC!$F$2:$F$4</formula1>
    </dataValidation>
  </dataValidation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  <col width="38" customWidth="1" min="5" max="5"/>
    <col width="38" customWidth="1" min="6" max="6"/>
    <col width="19" customWidth="1" min="7" max="7"/>
    <col width="38" customWidth="1" min="8" max="8"/>
    <col width="19" customWidth="1" min="9" max="9"/>
    <col width="38" customWidth="1" min="10" max="10"/>
    <col width="19" customWidth="1" min="11" max="11"/>
    <col width="12" customWidth="1" min="12" max="12"/>
    <col width="24" customWidth="1" min="13" max="13"/>
  </cols>
  <sheetData>
    <row r="1">
      <c r="A1" s="5" t="inlineStr">
        <is>
          <t>pair_id</t>
        </is>
      </c>
      <c r="B1" s="5" t="inlineStr">
        <is>
          <t>cv_id</t>
        </is>
      </c>
      <c r="C1" s="5" t="inlineStr">
        <is>
          <t>jd_id</t>
        </is>
      </c>
      <c r="D1" s="5" t="inlineStr">
        <is>
          <t>muc_phu_hop</t>
        </is>
      </c>
      <c r="E1" s="5" t="inlineStr">
        <is>
          <t>nhan_xet_chung</t>
        </is>
      </c>
      <c r="F1" s="5" t="inlineStr">
        <is>
          <t>goi_y_1</t>
        </is>
      </c>
      <c r="G1" s="5" t="inlineStr">
        <is>
          <t>tieu_chi_goi_y_1</t>
        </is>
      </c>
      <c r="H1" s="5" t="inlineStr">
        <is>
          <t>goi_y_2</t>
        </is>
      </c>
      <c r="I1" s="5" t="inlineStr">
        <is>
          <t>tieu_chi_goi_y_2</t>
        </is>
      </c>
      <c r="J1" s="5" t="inlineStr">
        <is>
          <t>goi_y_3</t>
        </is>
      </c>
      <c r="K1" s="5" t="inlineStr">
        <is>
          <t>tieu_chi_goi_y_3</t>
        </is>
      </c>
      <c r="L1" s="5" t="inlineStr">
        <is>
          <t>thoi_gian_phut</t>
        </is>
      </c>
      <c r="M1" s="5" t="inlineStr">
        <is>
          <t>kiem_tra</t>
        </is>
      </c>
    </row>
    <row r="2">
      <c r="A2" s="6" t="inlineStr">
        <is>
          <t>DEMO-P01</t>
        </is>
      </c>
      <c r="B2" s="6" t="inlineStr">
        <is>
          <t>CV_DEMO_01</t>
        </is>
      </c>
      <c r="C2" s="6" t="inlineStr">
        <is>
          <t>JD_DEMO_BE</t>
        </is>
      </c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9">
        <f>IF(D2="","Chưa chấm mức phù hợp",IF(F2="","Cần ít nhất 1 gợi ý",IF(OR(AND(F2&lt;&gt;"",G2=""),AND(H2&lt;&gt;"",I2=""),AND(J2&lt;&gt;"",K2="")),"Gợi ý thiếu tiêu chí","OK")))</f>
        <v/>
      </c>
    </row>
    <row r="3">
      <c r="A3" s="6" t="inlineStr">
        <is>
          <t>DEMO-P03</t>
        </is>
      </c>
      <c r="B3" s="6" t="inlineStr">
        <is>
          <t>CV_DEMO_02</t>
        </is>
      </c>
      <c r="C3" s="6" t="inlineStr">
        <is>
          <t>JD_DEMO_FE</t>
        </is>
      </c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9">
        <f>IF(D3="","Chưa chấm mức phù hợp",IF(F3="","Cần ít nhất 1 gợi ý",IF(OR(AND(F3&lt;&gt;"",G3=""),AND(H3&lt;&gt;"",I3=""),AND(J3&lt;&gt;"",K3="")),"Gợi ý thiếu tiêu chí","OK")))</f>
        <v/>
      </c>
    </row>
    <row r="4">
      <c r="A4" s="6" t="inlineStr">
        <is>
          <t>DEMO-P02</t>
        </is>
      </c>
      <c r="B4" s="6" t="inlineStr">
        <is>
          <t>CV_DEMO_01</t>
        </is>
      </c>
      <c r="C4" s="6" t="inlineStr">
        <is>
          <t>JD_DEMO_FE</t>
        </is>
      </c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9">
        <f>IF(D4="","Chưa chấm mức phù hợp",IF(F4="","Cần ít nhất 1 gợi ý",IF(OR(AND(F4&lt;&gt;"",G4=""),AND(H4&lt;&gt;"",I4=""),AND(J4&lt;&gt;"",K4="")),"Gợi ý thiếu tiêu chí","OK")))</f>
        <v/>
      </c>
    </row>
  </sheetData>
  <autoFilter ref="A1:M4"/>
  <conditionalFormatting sqref="M2:M4">
    <cfRule type="cellIs" priority="1" operator="equal" dxfId="0">
      <formula>"OK"</formula>
    </cfRule>
    <cfRule type="cellIs" priority="2" operator="notEqual" dxfId="1">
      <formula>"OK"</formula>
    </cfRule>
  </conditionalFormatting>
  <dataValidations count="5">
    <dataValidation sqref="D2:D4" showDropDown="0" showInputMessage="0" showErrorMessage="1" allowBlank="1" errorTitle="Giá trị không hợp lệ" error="Mức phù hợp là số nguyên 1–5." type="list">
      <formula1>=DANH_MUC!$E$2:$E$6</formula1>
    </dataValidation>
    <dataValidation sqref="G2:G4" showDropDown="0" showInputMessage="0" showErrorMessage="1" allowBlank="1" errorTitle="Giá trị không hợp lệ" error="Chọn mã tiêu chí C1–C8." type="list">
      <formula1>=DANH_MUC!$G$2:$G$9</formula1>
    </dataValidation>
    <dataValidation sqref="I2:I4" showDropDown="0" showInputMessage="0" showErrorMessage="1" allowBlank="1" errorTitle="Giá trị không hợp lệ" error="Chọn mã tiêu chí C1–C8." type="list">
      <formula1>=DANH_MUC!$G$2:$G$9</formula1>
    </dataValidation>
    <dataValidation sqref="K2:K4" showDropDown="0" showInputMessage="0" showErrorMessage="1" allowBlank="1" errorTitle="Giá trị không hợp lệ" error="Chọn mã tiêu chí C1–C8." type="list">
      <formula1>=DANH_MUC!$G$2:$G$9</formula1>
    </dataValidation>
    <dataValidation sqref="L2:L4" showDropDown="0" showInputMessage="0" showErrorMessage="1" allowBlank="1" error="Số phút là số nguyên 0–600." type="whole" operator="between">
      <formula1>0</formula1>
      <formula2>600</formula2>
    </dataValidation>
  </dataValidation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8" customWidth="1" min="9" max="9"/>
  </cols>
  <sheetData>
    <row r="1">
      <c r="A1" s="5" t="inlineStr">
        <is>
          <t>pair_id</t>
        </is>
      </c>
      <c r="B1" s="5" t="inlineStr">
        <is>
          <t>tieu_chi_ok</t>
        </is>
      </c>
      <c r="C1" s="5" t="inlineStr">
        <is>
          <t>tong_tieu_chi</t>
        </is>
      </c>
      <c r="D1" s="5" t="inlineStr">
        <is>
          <t>yeu_cau_ok</t>
        </is>
      </c>
      <c r="E1" s="5" t="inlineStr">
        <is>
          <t>tong_yeu_cau</t>
        </is>
      </c>
      <c r="F1" s="5" t="inlineStr">
        <is>
          <t>tong_the_ok</t>
        </is>
      </c>
      <c r="G1" s="5" t="inlineStr">
        <is>
          <t>trang_thai</t>
        </is>
      </c>
      <c r="I1" s="10" t="inlineStr">
        <is>
          <t>Số cặp đã xong</t>
        </is>
      </c>
    </row>
    <row r="2">
      <c r="A2" s="6" t="inlineStr">
        <is>
          <t>DEMO-P01</t>
        </is>
      </c>
      <c r="B2" s="6">
        <f>COUNTIFS(TIEU_CHI!$A:$A,A2,TIEU_CHI!$N:$N,"OK")</f>
        <v/>
      </c>
      <c r="C2" s="6">
        <f>COUNTIF(TIEU_CHI!$A:$A,A2)</f>
        <v/>
      </c>
      <c r="D2" s="6">
        <f>COUNTIFS(YEU_CAU_JD!$A:$A,A2,YEU_CAU_JD!$J:$J,"OK")</f>
        <v/>
      </c>
      <c r="E2" s="6">
        <f>COUNTIF(YEU_CAU_JD!$A:$A,A2)</f>
        <v/>
      </c>
      <c r="F2" s="6">
        <f>COUNTIFS(TONG_THE!$A:$A,A2,TONG_THE!$M:$M,"OK")</f>
        <v/>
      </c>
      <c r="G2" s="6">
        <f>IF(AND(B2=C2,D2=E2,F2=1),"Xong","Chưa")</f>
        <v/>
      </c>
      <c r="I2">
        <f>COUNTIF(G2:G4,"Xong")&amp;" / 3"</f>
        <v/>
      </c>
    </row>
    <row r="3">
      <c r="A3" s="6" t="inlineStr">
        <is>
          <t>DEMO-P03</t>
        </is>
      </c>
      <c r="B3" s="6">
        <f>COUNTIFS(TIEU_CHI!$A:$A,A3,TIEU_CHI!$N:$N,"OK")</f>
        <v/>
      </c>
      <c r="C3" s="6">
        <f>COUNTIF(TIEU_CHI!$A:$A,A3)</f>
        <v/>
      </c>
      <c r="D3" s="6">
        <f>COUNTIFS(YEU_CAU_JD!$A:$A,A3,YEU_CAU_JD!$J:$J,"OK")</f>
        <v/>
      </c>
      <c r="E3" s="6">
        <f>COUNTIF(YEU_CAU_JD!$A:$A,A3)</f>
        <v/>
      </c>
      <c r="F3" s="6">
        <f>COUNTIFS(TONG_THE!$A:$A,A3,TONG_THE!$M:$M,"OK")</f>
        <v/>
      </c>
      <c r="G3" s="6">
        <f>IF(AND(B3=C3,D3=E3,F3=1),"Xong","Chưa")</f>
        <v/>
      </c>
    </row>
    <row r="4">
      <c r="A4" s="6" t="inlineStr">
        <is>
          <t>DEMO-P02</t>
        </is>
      </c>
      <c r="B4" s="6">
        <f>COUNTIFS(TIEU_CHI!$A:$A,A4,TIEU_CHI!$N:$N,"OK")</f>
        <v/>
      </c>
      <c r="C4" s="6">
        <f>COUNTIF(TIEU_CHI!$A:$A,A4)</f>
        <v/>
      </c>
      <c r="D4" s="6">
        <f>COUNTIFS(YEU_CAU_JD!$A:$A,A4,YEU_CAU_JD!$J:$J,"OK")</f>
        <v/>
      </c>
      <c r="E4" s="6">
        <f>COUNTIF(YEU_CAU_JD!$A:$A,A4)</f>
        <v/>
      </c>
      <c r="F4" s="6">
        <f>COUNTIFS(TONG_THE!$A:$A,A4,TONG_THE!$M:$M,"OK")</f>
        <v/>
      </c>
      <c r="G4" s="6">
        <f>IF(AND(B4=C4,D4=E4,F4=1),"Xong","Chưa")</f>
        <v/>
      </c>
    </row>
  </sheetData>
  <autoFilter ref="A1:G4"/>
  <conditionalFormatting sqref="G2:G4">
    <cfRule type="cellIs" priority="1" operator="equal" dxfId="0">
      <formula>"Xong"</formula>
    </cfRule>
  </conditionalFormatting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trang_thai_tieu_chi</t>
        </is>
      </c>
      <c r="B1" t="inlineStr">
        <is>
          <t>diem</t>
        </is>
      </c>
      <c r="C1" t="inlineStr">
        <is>
          <t>muc_bang_chung</t>
        </is>
      </c>
      <c r="D1" t="inlineStr">
        <is>
          <t>trang_thai_yeu_cau</t>
        </is>
      </c>
      <c r="E1" t="inlineStr">
        <is>
          <t>muc_phu_hop</t>
        </is>
      </c>
      <c r="F1" t="inlineStr">
        <is>
          <t>do_tu_tin</t>
        </is>
      </c>
      <c r="G1" t="inlineStr">
        <is>
          <t>criterion_id</t>
        </is>
      </c>
    </row>
    <row r="2">
      <c r="A2" t="inlineStr">
        <is>
          <t>scored</t>
        </is>
      </c>
      <c r="B2" t="n">
        <v>0</v>
      </c>
      <c r="C2" t="inlineStr">
        <is>
          <t>summary</t>
        </is>
      </c>
      <c r="D2" t="inlineStr">
        <is>
          <t>met</t>
        </is>
      </c>
      <c r="E2" t="n">
        <v>1</v>
      </c>
      <c r="F2" t="inlineStr">
        <is>
          <t>cao</t>
        </is>
      </c>
      <c r="G2" t="inlineStr">
        <is>
          <t>C1_structure</t>
        </is>
      </c>
    </row>
    <row r="3">
      <c r="A3" t="inlineStr">
        <is>
          <t>missing_in_cv</t>
        </is>
      </c>
      <c r="B3" t="n">
        <v>1</v>
      </c>
      <c r="C3" t="inlineStr">
        <is>
          <t>skills</t>
        </is>
      </c>
      <c r="D3" t="inlineStr">
        <is>
          <t>mentioned_only</t>
        </is>
      </c>
      <c r="E3" t="n">
        <v>2</v>
      </c>
      <c r="F3" t="inlineStr">
        <is>
          <t>trung_binh</t>
        </is>
      </c>
      <c r="G3" t="inlineStr">
        <is>
          <t>C2_it_content</t>
        </is>
      </c>
    </row>
    <row r="4">
      <c r="A4" t="inlineStr">
        <is>
          <t>not_applicable</t>
        </is>
      </c>
      <c r="B4" t="n">
        <v>2</v>
      </c>
      <c r="C4" t="inlineStr">
        <is>
          <t>experience</t>
        </is>
      </c>
      <c r="D4" t="inlineStr">
        <is>
          <t>missing</t>
        </is>
      </c>
      <c r="E4" t="n">
        <v>3</v>
      </c>
      <c r="F4" t="inlineStr">
        <is>
          <t>thap</t>
        </is>
      </c>
      <c r="G4" t="inlineStr">
        <is>
          <t>C3_skills</t>
        </is>
      </c>
    </row>
    <row r="5">
      <c r="A5" t="inlineStr">
        <is>
          <t>unreadable</t>
        </is>
      </c>
      <c r="B5" t="n">
        <v>3</v>
      </c>
      <c r="C5" t="inlineStr">
        <is>
          <t>projects</t>
        </is>
      </c>
      <c r="D5" t="inlineStr">
        <is>
          <t>unclear</t>
        </is>
      </c>
      <c r="E5" t="n">
        <v>4</v>
      </c>
      <c r="G5" t="inlineStr">
        <is>
          <t>C4_projects</t>
        </is>
      </c>
    </row>
    <row r="6">
      <c r="B6" t="n">
        <v>4</v>
      </c>
      <c r="C6" t="inlineStr">
        <is>
          <t>education</t>
        </is>
      </c>
      <c r="E6" t="n">
        <v>5</v>
      </c>
      <c r="G6" t="inlineStr">
        <is>
          <t>C5_experience</t>
        </is>
      </c>
    </row>
    <row r="7">
      <c r="C7" t="inlineStr">
        <is>
          <t>certifications</t>
        </is>
      </c>
      <c r="G7" t="inlineStr">
        <is>
          <t>C6_certs_activities</t>
        </is>
      </c>
    </row>
    <row r="8">
      <c r="C8" t="inlineStr">
        <is>
          <t>activities</t>
        </is>
      </c>
      <c r="G8" t="inlineStr">
        <is>
          <t>C7_ats</t>
        </is>
      </c>
    </row>
    <row r="9">
      <c r="C9" t="inlineStr">
        <is>
          <t>awards</t>
        </is>
      </c>
      <c r="G9" t="inlineStr">
        <is>
          <t>C8_jd_fit</t>
        </is>
      </c>
    </row>
    <row r="10">
      <c r="C10" t="inlineStr">
        <is>
          <t>personal_info</t>
        </is>
      </c>
    </row>
    <row r="11">
      <c r="C11" t="inlineStr">
        <is>
          <t>toan_bo_cv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5" t="inlineStr">
        <is>
          <t>key</t>
        </is>
      </c>
      <c r="B1" s="5" t="inlineStr">
        <is>
          <t>value</t>
        </is>
      </c>
    </row>
    <row r="2">
      <c r="A2" s="6" t="inlineStr">
        <is>
          <t>layout_version</t>
        </is>
      </c>
      <c r="B2" s="6" t="inlineStr">
        <is>
          <t>cv_jd_rating_workbook_v1</t>
        </is>
      </c>
    </row>
    <row r="3">
      <c r="A3" s="6" t="inlineStr">
        <is>
          <t>rater_id</t>
        </is>
      </c>
      <c r="B3" s="6" t="inlineStr">
        <is>
          <t>DEMO</t>
        </is>
      </c>
    </row>
    <row r="4">
      <c r="A4" s="6" t="inlineStr">
        <is>
          <t>rubric_version</t>
        </is>
      </c>
      <c r="B4" s="6" t="inlineStr">
        <is>
          <t>rubric_v2_draft1</t>
        </is>
      </c>
    </row>
    <row r="5">
      <c r="A5" s="6" t="inlineStr">
        <is>
          <t>rubric_sha256</t>
        </is>
      </c>
      <c r="B5" s="6" t="inlineStr">
        <is>
          <t>9972d22326c84dd05c650bca3078c2839f7162ffe6d875cbdac7ba8186d81c5e</t>
        </is>
      </c>
    </row>
    <row r="6">
      <c r="A6" s="6" t="inlineStr">
        <is>
          <t>pairs_sha256</t>
        </is>
      </c>
      <c r="B6" s="6" t="inlineStr">
        <is>
          <t>1c59db8d7404e73871e8d57eaba172b45bbab46042f44b74ced3b02c2b5c87bd</t>
        </is>
      </c>
    </row>
    <row r="7">
      <c r="A7" s="6" t="inlineStr">
        <is>
          <t>jd_gold_sha256</t>
        </is>
      </c>
      <c r="B7" s="6" t="inlineStr">
        <is>
          <t>38d13f87cb0f7c168662eaafe7787480cd73a5c854cea2f5f1f4e52d915e46aa</t>
        </is>
      </c>
    </row>
    <row r="8">
      <c r="A8" s="6" t="inlineStr">
        <is>
          <t>order_seed</t>
        </is>
      </c>
      <c r="B8" s="6" t="n">
        <v>20261013</v>
      </c>
    </row>
    <row r="9">
      <c r="A9" s="6" t="inlineStr">
        <is>
          <t>split</t>
        </is>
      </c>
      <c r="B9" s="6" t="inlineStr">
        <is>
          <t>all</t>
        </is>
      </c>
    </row>
    <row r="10">
      <c r="A10" s="6" t="inlineStr">
        <is>
          <t>pair_count</t>
        </is>
      </c>
      <c r="B10" s="6" t="n">
        <v>3</v>
      </c>
    </row>
    <row r="11">
      <c r="A11" s="6" t="inlineStr">
        <is>
          <t>criterion_rows</t>
        </is>
      </c>
      <c r="B11" s="6" t="n">
        <v>24</v>
      </c>
    </row>
    <row r="12">
      <c r="A12" s="6" t="inlineStr">
        <is>
          <t>requirement_rows</t>
        </is>
      </c>
      <c r="B12" s="6" t="n">
        <v>20</v>
      </c>
    </row>
    <row r="13">
      <c r="A13" s="6" t="inlineStr">
        <is>
          <t>locked</t>
        </is>
      </c>
      <c r="B13" s="6" t="b">
        <v>0</v>
      </c>
    </row>
    <row r="14">
      <c r="A14" s="6" t="inlineStr">
        <is>
          <t>created_at</t>
        </is>
      </c>
      <c r="B14" s="6" t="inlineStr">
        <is>
          <t>2026-10-13T00:00:00Z</t>
        </is>
      </c>
    </row>
  </sheetData>
  <autoFilter ref="A1:B14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2026-10-14T06:44:50Z</dcterms:created>
  <dcterms:modified xmlns:dcterms="http://purl.org/dc/terms/" xmlns:xsi="http://www.w3.org/2001/XMLSchema-instance" xsi:type="dcterms:W3CDTF">2026-10-14T06:44:50Z</dcterms:modified>
</cp:coreProperties>
</file>